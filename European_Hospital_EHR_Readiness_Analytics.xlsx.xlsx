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16.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63ef2f7777980d33/Desktop/"/>
    </mc:Choice>
  </mc:AlternateContent>
  <xr:revisionPtr revIDLastSave="254" documentId="8_{35054C29-1091-4CBB-905A-0801D9693F7A}" xr6:coauthVersionLast="47" xr6:coauthVersionMax="47" xr10:uidLastSave="{AF34F5FC-D067-4F9F-8FCC-780FEB39EE80}"/>
  <bookViews>
    <workbookView xWindow="-108" yWindow="-108" windowWidth="23256" windowHeight="12456" activeTab="4" xr2:uid="{0581C2E3-4583-4A7C-958B-C84A6B5CDA37}"/>
  </bookViews>
  <sheets>
    <sheet name="01_Hospitals" sheetId="1" r:id="rId1"/>
    <sheet name="02_ENCOUNTERS" sheetId="2" r:id="rId2"/>
    <sheet name="02_ENCOUNTERS_RAW" sheetId="7" r:id="rId3"/>
    <sheet name="03_ENCOUNTERS_CLEAN" sheetId="6" r:id="rId4"/>
    <sheet name="05_ANALYSIS" sheetId="3" r:id="rId5"/>
    <sheet name="04_DATA_QUALITY_LOG" sheetId="9" r:id="rId6"/>
    <sheet name="06_PIVOTS" sheetId="17" r:id="rId7"/>
    <sheet name="07-PIVOTS" sheetId="18" r:id="rId8"/>
    <sheet name="08-PIVOTS" sheetId="20" r:id="rId9"/>
    <sheet name="09-PIVOTS" sheetId="23" r:id="rId10"/>
    <sheet name="10-PIVOTS" sheetId="25" r:id="rId11"/>
    <sheet name="11-PIVOTS" sheetId="26" r:id="rId12"/>
    <sheet name="12-PIVOTS" sheetId="27" r:id="rId13"/>
    <sheet name="13-PIVOTS" sheetId="28" r:id="rId14"/>
    <sheet name="14-PIVOTS" sheetId="29" r:id="rId15"/>
    <sheet name="07_DIGITAL_READINESS" sheetId="32" r:id="rId16"/>
    <sheet name="08_ROI_ANALYSIS" sheetId="33" r:id="rId17"/>
    <sheet name="09_CEO_DASHBOARD" sheetId="34" r:id="rId18"/>
  </sheets>
  <definedNames>
    <definedName name="Slicer_Admission_Type">#N/A</definedName>
    <definedName name="Slicer_Age_Group">#N/A</definedName>
    <definedName name="Slicer_Country">#N/A</definedName>
    <definedName name="Slicer_Department">#N/A</definedName>
    <definedName name="Slicer_Duplicate_Test">#N/A</definedName>
    <definedName name="Slicer_FHIR_Status">#N/A</definedName>
    <definedName name="Slicer_Hospital_Name">#N/A</definedName>
    <definedName name="tblHospitals" localSheetId="2">Table1[#All]</definedName>
    <definedName name="tblHospitals" localSheetId="3">Table1[#All]</definedName>
    <definedName name="tblHospitals">Table1[#All]</definedName>
  </definedNames>
  <calcPr calcId="191029"/>
  <pivotCaches>
    <pivotCache cacheId="0" r:id="rId19"/>
    <pivotCache cacheId="1" r:id="rId20"/>
  </pivotCaches>
  <extLst>
    <ext xmlns:x14="http://schemas.microsoft.com/office/spreadsheetml/2009/9/main" uri="{BBE1A952-AA13-448e-AADC-164F8A28A991}">
      <x14:slicerCaches>
        <x14:slicerCache r:id="rId21"/>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34" l="1"/>
  <c r="J6" i="34"/>
  <c r="G6" i="34"/>
  <c r="D6" i="34"/>
  <c r="A6" i="34"/>
  <c r="C17" i="1"/>
  <c r="B161" i="33"/>
  <c r="L3" i="33" a="1"/>
  <c r="K3" i="33" s="1"/>
  <c r="L4" i="33" a="1"/>
  <c r="K4" i="33" s="1"/>
  <c r="L5" i="33" a="1"/>
  <c r="K5" i="33" s="1"/>
  <c r="L6" i="33" a="1"/>
  <c r="K6" i="33" s="1"/>
  <c r="L7" i="33" a="1"/>
  <c r="K7" i="33" s="1"/>
  <c r="L8" i="33" a="1"/>
  <c r="K8" i="33" s="1"/>
  <c r="L9" i="33" a="1"/>
  <c r="K9" i="33" s="1"/>
  <c r="L10" i="33" a="1"/>
  <c r="K10" i="33" s="1"/>
  <c r="L11" i="33" a="1"/>
  <c r="K11" i="33" s="1"/>
  <c r="L2" i="33" a="1"/>
  <c r="K2" i="33" s="1"/>
  <c r="C29" i="33" s="1"/>
  <c r="H3" i="33"/>
  <c r="H4" i="33"/>
  <c r="H5" i="33"/>
  <c r="H6" i="33"/>
  <c r="H7" i="33"/>
  <c r="H8" i="33"/>
  <c r="H9" i="33"/>
  <c r="H10" i="33"/>
  <c r="H11" i="33"/>
  <c r="H2" i="33"/>
  <c r="H27" i="33"/>
  <c r="D3" i="33"/>
  <c r="D4" i="33"/>
  <c r="D5" i="33"/>
  <c r="D6" i="33"/>
  <c r="D7" i="33"/>
  <c r="D8" i="33"/>
  <c r="D9" i="33"/>
  <c r="D10" i="33"/>
  <c r="D11" i="33"/>
  <c r="D2" i="33"/>
  <c r="C27" i="33" s="1"/>
  <c r="C3" i="33"/>
  <c r="C4" i="33"/>
  <c r="C5" i="33"/>
  <c r="C6" i="33"/>
  <c r="C7" i="33"/>
  <c r="C8" i="33"/>
  <c r="C9" i="33"/>
  <c r="C10" i="33"/>
  <c r="C11" i="33"/>
  <c r="C2" i="33"/>
  <c r="I4" i="32" a="1"/>
  <c r="O4" i="32" s="1"/>
  <c r="I8" i="32" a="1"/>
  <c r="O8" i="32" s="1"/>
  <c r="I6" i="32" a="1"/>
  <c r="O6" i="32" s="1"/>
  <c r="I5" i="32" a="1"/>
  <c r="O5" i="32" s="1"/>
  <c r="I2" i="32" a="1"/>
  <c r="O2" i="32" s="1"/>
  <c r="I9" i="32" a="1"/>
  <c r="O9" i="32" s="1"/>
  <c r="I7" i="32" a="1"/>
  <c r="O7" i="32" s="1"/>
  <c r="I10" i="32" a="1"/>
  <c r="O10" i="32" s="1"/>
  <c r="I11" i="32" a="1"/>
  <c r="O11" i="32" s="1"/>
  <c r="I3" i="32" a="1"/>
  <c r="O3" i="32" s="1"/>
  <c r="H4" i="32" a="1"/>
  <c r="N4" i="32" s="1"/>
  <c r="H8" i="32" a="1"/>
  <c r="N8" i="32" s="1"/>
  <c r="H6" i="32" a="1"/>
  <c r="N6" i="32" s="1"/>
  <c r="H5" i="32" a="1"/>
  <c r="N5" i="32" s="1"/>
  <c r="H2" i="32" a="1"/>
  <c r="N2" i="32" s="1"/>
  <c r="H9" i="32" a="1"/>
  <c r="N9" i="32" s="1"/>
  <c r="H7" i="32" a="1"/>
  <c r="N7" i="32" s="1"/>
  <c r="H10" i="32" a="1"/>
  <c r="N10" i="32" s="1"/>
  <c r="H11" i="32" a="1"/>
  <c r="N11" i="32" s="1"/>
  <c r="H3" i="32" a="1"/>
  <c r="N3" i="32" s="1"/>
  <c r="G4" i="32" a="1"/>
  <c r="M4" i="32" s="1"/>
  <c r="G8" i="32" a="1"/>
  <c r="M8" i="32" s="1"/>
  <c r="G6" i="32" a="1"/>
  <c r="M6" i="32" s="1"/>
  <c r="G5" i="32" a="1"/>
  <c r="M5" i="32" s="1"/>
  <c r="G2" i="32" a="1"/>
  <c r="M2" i="32" s="1"/>
  <c r="G9" i="32" a="1"/>
  <c r="M9" i="32" s="1"/>
  <c r="G7" i="32" a="1"/>
  <c r="M7" i="32" s="1"/>
  <c r="G10" i="32" a="1"/>
  <c r="M10" i="32" s="1"/>
  <c r="G11" i="32" a="1"/>
  <c r="M11" i="32" s="1"/>
  <c r="G3" i="32" a="1"/>
  <c r="M3" i="32" s="1"/>
  <c r="F4" i="32" a="1"/>
  <c r="L4" i="32" s="1"/>
  <c r="F8" i="32" a="1"/>
  <c r="L8" i="32" s="1"/>
  <c r="F6" i="32" a="1"/>
  <c r="L6" i="32" s="1"/>
  <c r="F5" i="32" a="1"/>
  <c r="L5" i="32" s="1"/>
  <c r="F2" i="32" a="1"/>
  <c r="L2" i="32" s="1"/>
  <c r="F9" i="32" a="1"/>
  <c r="L9" i="32" s="1"/>
  <c r="F7" i="32" a="1"/>
  <c r="L7" i="32" s="1"/>
  <c r="F10" i="32" a="1"/>
  <c r="L10" i="32" s="1"/>
  <c r="F11" i="32" a="1"/>
  <c r="L11" i="32" s="1"/>
  <c r="F3" i="32" a="1"/>
  <c r="L3" i="32" s="1"/>
  <c r="E4" i="32" a="1"/>
  <c r="K4" i="32" s="1"/>
  <c r="E8" i="32" a="1"/>
  <c r="K8" i="32" s="1"/>
  <c r="E6" i="32" a="1"/>
  <c r="K6" i="32" s="1"/>
  <c r="E5" i="32" a="1"/>
  <c r="K5" i="32" s="1"/>
  <c r="E2" i="32" a="1"/>
  <c r="K2" i="32" s="1"/>
  <c r="E9" i="32" a="1"/>
  <c r="K9" i="32" s="1"/>
  <c r="E7" i="32" a="1"/>
  <c r="K7" i="32" s="1"/>
  <c r="E10" i="32" a="1"/>
  <c r="K10" i="32" s="1"/>
  <c r="E11" i="32" a="1"/>
  <c r="K11" i="32" s="1"/>
  <c r="E3" i="32" a="1"/>
  <c r="K3" i="32" s="1"/>
  <c r="D4" i="32" a="1"/>
  <c r="J4" i="32" s="1"/>
  <c r="P4" i="32" s="1"/>
  <c r="R4" i="32" s="1"/>
  <c r="D8" i="32" a="1"/>
  <c r="J8" i="32" s="1"/>
  <c r="P8" i="32" s="1"/>
  <c r="R8" i="32" s="1"/>
  <c r="D6" i="32" a="1"/>
  <c r="J6" i="32" s="1"/>
  <c r="P6" i="32" s="1"/>
  <c r="R6" i="32" s="1"/>
  <c r="D5" i="32" a="1"/>
  <c r="J5" i="32" s="1"/>
  <c r="P5" i="32" s="1"/>
  <c r="R5" i="32" s="1"/>
  <c r="D2" i="32" a="1"/>
  <c r="J2" i="32" s="1"/>
  <c r="P2" i="32" s="1"/>
  <c r="R2" i="32" s="1"/>
  <c r="D9" i="32" a="1"/>
  <c r="J9" i="32" s="1"/>
  <c r="P9" i="32" s="1"/>
  <c r="R9" i="32" s="1"/>
  <c r="D7" i="32" a="1"/>
  <c r="J7" i="32" s="1"/>
  <c r="P7" i="32" s="1"/>
  <c r="R7" i="32" s="1"/>
  <c r="D10" i="32" a="1"/>
  <c r="J10" i="32" s="1"/>
  <c r="P10" i="32" s="1"/>
  <c r="R10" i="32" s="1"/>
  <c r="D11" i="32" a="1"/>
  <c r="J11" i="32" s="1"/>
  <c r="P11" i="32" s="1"/>
  <c r="R11" i="32" s="1"/>
  <c r="D3" i="32" a="1"/>
  <c r="J3" i="32" s="1"/>
  <c r="P3" i="32" s="1"/>
  <c r="C4" i="32" a="1"/>
  <c r="C8" i="32" a="1"/>
  <c r="C6" i="32" a="1"/>
  <c r="C5" i="32" a="1"/>
  <c r="C2" i="32" a="1"/>
  <c r="C9" i="32" a="1"/>
  <c r="C7" i="32" a="1"/>
  <c r="C10" i="32" a="1"/>
  <c r="C11" i="32" a="1"/>
  <c r="C3" i="32" a="1"/>
  <c r="B4" i="32" a="1"/>
  <c r="B8" i="32" a="1"/>
  <c r="B6" i="32" a="1"/>
  <c r="B5" i="32" a="1"/>
  <c r="B2" i="32" a="1"/>
  <c r="B9" i="32" a="1"/>
  <c r="B7" i="32" a="1"/>
  <c r="B10" i="32" a="1"/>
  <c r="B11" i="32" a="1"/>
  <c r="B3" i="32" a="1"/>
  <c r="C17" i="3"/>
  <c r="C8" i="3"/>
  <c r="AC6" i="6"/>
  <c r="AC3" i="6"/>
  <c r="AC8" i="6"/>
  <c r="AC14" i="6"/>
  <c r="AC19" i="6"/>
  <c r="AC21" i="6"/>
  <c r="AC43" i="6"/>
  <c r="AC47" i="6"/>
  <c r="J6" i="3"/>
  <c r="J5" i="3"/>
  <c r="G3" i="3"/>
  <c r="G2" i="3"/>
  <c r="AB2" i="6"/>
  <c r="AB3" i="6"/>
  <c r="AB4" i="6"/>
  <c r="AB5" i="6"/>
  <c r="AB6" i="6"/>
  <c r="AB7" i="6"/>
  <c r="AB8" i="6"/>
  <c r="AB9" i="6"/>
  <c r="AB10" i="6"/>
  <c r="AB11" i="6"/>
  <c r="AB12" i="6"/>
  <c r="AB13" i="6"/>
  <c r="AB14" i="6"/>
  <c r="AB15" i="6"/>
  <c r="AB16" i="6"/>
  <c r="AB17" i="6"/>
  <c r="AB18" i="6"/>
  <c r="AB19" i="6"/>
  <c r="AB20" i="6"/>
  <c r="AB21" i="6"/>
  <c r="AB22" i="6"/>
  <c r="AB23" i="6"/>
  <c r="AB24" i="6"/>
  <c r="AB25" i="6"/>
  <c r="AB26" i="6"/>
  <c r="AB27" i="6"/>
  <c r="AB28" i="6"/>
  <c r="AB29" i="6"/>
  <c r="AB30" i="6"/>
  <c r="AB31" i="6"/>
  <c r="AB32" i="6"/>
  <c r="AB33" i="6"/>
  <c r="AB34" i="6"/>
  <c r="AB35" i="6"/>
  <c r="AB36" i="6"/>
  <c r="AB37" i="6"/>
  <c r="AB38" i="6"/>
  <c r="AB39" i="6"/>
  <c r="AB40" i="6"/>
  <c r="AB41" i="6"/>
  <c r="AB42" i="6"/>
  <c r="AB43" i="6"/>
  <c r="AB44" i="6"/>
  <c r="AB45" i="6"/>
  <c r="AB46" i="6"/>
  <c r="AB47" i="6"/>
  <c r="AB48" i="6"/>
  <c r="AB49" i="6"/>
  <c r="AB50" i="6"/>
  <c r="AB51" i="6"/>
  <c r="Z10" i="6"/>
  <c r="AA10" i="6" s="1"/>
  <c r="Y10" i="6"/>
  <c r="X2" i="6"/>
  <c r="X3" i="6"/>
  <c r="X4" i="6"/>
  <c r="X5" i="6"/>
  <c r="X6" i="6"/>
  <c r="X7" i="6"/>
  <c r="X8" i="6"/>
  <c r="X9" i="6"/>
  <c r="X10" i="6"/>
  <c r="X11" i="6"/>
  <c r="X12" i="6"/>
  <c r="X13" i="6"/>
  <c r="X14" i="6"/>
  <c r="X15" i="6"/>
  <c r="X16" i="6"/>
  <c r="X17" i="6"/>
  <c r="X18" i="6"/>
  <c r="X19" i="6"/>
  <c r="X20" i="6"/>
  <c r="X21" i="6"/>
  <c r="X22" i="6"/>
  <c r="X23" i="6"/>
  <c r="X24" i="6"/>
  <c r="X25" i="6"/>
  <c r="X26" i="6"/>
  <c r="X27" i="6"/>
  <c r="X28" i="6"/>
  <c r="X29" i="6"/>
  <c r="X30" i="6"/>
  <c r="X31" i="6"/>
  <c r="X32" i="6"/>
  <c r="X33" i="6"/>
  <c r="X34" i="6"/>
  <c r="X35" i="6"/>
  <c r="X36" i="6"/>
  <c r="X37" i="6"/>
  <c r="X38" i="6"/>
  <c r="X39" i="6"/>
  <c r="X40" i="6"/>
  <c r="X41" i="6"/>
  <c r="X42" i="6"/>
  <c r="X43" i="6"/>
  <c r="X44" i="6"/>
  <c r="X45" i="6"/>
  <c r="X46" i="6"/>
  <c r="X47" i="6"/>
  <c r="X48" i="6"/>
  <c r="X49" i="6"/>
  <c r="X50" i="6"/>
  <c r="X51" i="6"/>
  <c r="W2" i="6"/>
  <c r="W3" i="6"/>
  <c r="W4" i="6"/>
  <c r="W5" i="6"/>
  <c r="W6" i="6"/>
  <c r="W7" i="6"/>
  <c r="W8" i="6"/>
  <c r="W9" i="6"/>
  <c r="W10" i="6"/>
  <c r="W11" i="6"/>
  <c r="W12" i="6"/>
  <c r="W13" i="6"/>
  <c r="W14" i="6"/>
  <c r="W15" i="6"/>
  <c r="W16" i="6"/>
  <c r="W17" i="6"/>
  <c r="W18" i="6"/>
  <c r="W19" i="6"/>
  <c r="W20" i="6"/>
  <c r="W21" i="6"/>
  <c r="W22" i="6"/>
  <c r="W23" i="6"/>
  <c r="W24" i="6"/>
  <c r="W25" i="6"/>
  <c r="W26" i="6"/>
  <c r="W27" i="6"/>
  <c r="W28" i="6"/>
  <c r="W29" i="6"/>
  <c r="W30" i="6"/>
  <c r="W31" i="6"/>
  <c r="W32" i="6"/>
  <c r="W33" i="6"/>
  <c r="W34" i="6"/>
  <c r="W35" i="6"/>
  <c r="W36" i="6"/>
  <c r="W37" i="6"/>
  <c r="W38" i="6"/>
  <c r="W39" i="6"/>
  <c r="W40" i="6"/>
  <c r="W41" i="6"/>
  <c r="W42" i="6"/>
  <c r="W43" i="6"/>
  <c r="W44" i="6"/>
  <c r="W45" i="6"/>
  <c r="W46" i="6"/>
  <c r="W47" i="6"/>
  <c r="W48" i="6"/>
  <c r="W49" i="6"/>
  <c r="W50" i="6"/>
  <c r="W51" i="6"/>
  <c r="V2" i="6"/>
  <c r="V3" i="6"/>
  <c r="V4" i="6"/>
  <c r="V5" i="6"/>
  <c r="V6" i="6"/>
  <c r="V7" i="6"/>
  <c r="V8" i="6"/>
  <c r="V9" i="6"/>
  <c r="V10" i="6"/>
  <c r="V11" i="6"/>
  <c r="V12" i="6"/>
  <c r="V13" i="6"/>
  <c r="V14" i="6"/>
  <c r="V15" i="6"/>
  <c r="V16" i="6"/>
  <c r="V17" i="6"/>
  <c r="V18" i="6"/>
  <c r="V19" i="6"/>
  <c r="V20" i="6"/>
  <c r="V21" i="6"/>
  <c r="V22" i="6"/>
  <c r="V23" i="6"/>
  <c r="V24" i="6"/>
  <c r="V25" i="6"/>
  <c r="V26" i="6"/>
  <c r="V27" i="6"/>
  <c r="V28" i="6"/>
  <c r="V29" i="6"/>
  <c r="V30" i="6"/>
  <c r="V31" i="6"/>
  <c r="V32" i="6"/>
  <c r="V33" i="6"/>
  <c r="V34" i="6"/>
  <c r="V35" i="6"/>
  <c r="V36" i="6"/>
  <c r="V37" i="6"/>
  <c r="V38" i="6"/>
  <c r="V39" i="6"/>
  <c r="V40" i="6"/>
  <c r="V41" i="6"/>
  <c r="V42" i="6"/>
  <c r="V43" i="6"/>
  <c r="V44" i="6"/>
  <c r="V45" i="6"/>
  <c r="V46" i="6"/>
  <c r="V47" i="6"/>
  <c r="V48" i="6"/>
  <c r="V49" i="6"/>
  <c r="V50" i="6"/>
  <c r="V51" i="6"/>
  <c r="U2" i="6"/>
  <c r="U3" i="6"/>
  <c r="U4" i="6"/>
  <c r="U5" i="6"/>
  <c r="U6" i="6"/>
  <c r="U7" i="6"/>
  <c r="U8" i="6"/>
  <c r="U9" i="6"/>
  <c r="U10" i="6"/>
  <c r="U11" i="6"/>
  <c r="U12" i="6"/>
  <c r="U13" i="6"/>
  <c r="U14" i="6"/>
  <c r="U15" i="6"/>
  <c r="U16" i="6"/>
  <c r="U17" i="6"/>
  <c r="U18" i="6"/>
  <c r="U19" i="6"/>
  <c r="U20" i="6"/>
  <c r="U21" i="6"/>
  <c r="U22" i="6"/>
  <c r="U23" i="6"/>
  <c r="U24" i="6"/>
  <c r="U25" i="6"/>
  <c r="U26" i="6"/>
  <c r="U27" i="6"/>
  <c r="U28" i="6"/>
  <c r="U29" i="6"/>
  <c r="U30" i="6"/>
  <c r="U31" i="6"/>
  <c r="U32" i="6"/>
  <c r="U33" i="6"/>
  <c r="U34" i="6"/>
  <c r="U35" i="6"/>
  <c r="U36" i="6"/>
  <c r="U37" i="6"/>
  <c r="U38" i="6"/>
  <c r="U39" i="6"/>
  <c r="U40" i="6"/>
  <c r="U41" i="6"/>
  <c r="U42" i="6"/>
  <c r="U43" i="6"/>
  <c r="U44" i="6"/>
  <c r="U45" i="6"/>
  <c r="U46" i="6"/>
  <c r="U47" i="6"/>
  <c r="U48" i="6"/>
  <c r="U49" i="6"/>
  <c r="U50" i="6"/>
  <c r="U51" i="6"/>
  <c r="T21" i="6"/>
  <c r="S51" i="6"/>
  <c r="R51" i="6"/>
  <c r="Q51" i="6"/>
  <c r="J51" i="6"/>
  <c r="Z51" i="6" s="1"/>
  <c r="E51" i="6"/>
  <c r="S51" i="7"/>
  <c r="R51" i="7"/>
  <c r="Q51" i="7"/>
  <c r="J51" i="7"/>
  <c r="K51" i="7" s="1"/>
  <c r="E51" i="7"/>
  <c r="S50" i="7"/>
  <c r="R50" i="7"/>
  <c r="Q50" i="7"/>
  <c r="J50" i="7"/>
  <c r="K50" i="7" s="1"/>
  <c r="E50" i="7"/>
  <c r="S49" i="7"/>
  <c r="R49" i="7"/>
  <c r="Q49" i="7"/>
  <c r="J49" i="7"/>
  <c r="K49" i="7" s="1"/>
  <c r="E49" i="7"/>
  <c r="S48" i="7"/>
  <c r="R48" i="7"/>
  <c r="Q48" i="7"/>
  <c r="J48" i="7"/>
  <c r="K48" i="7" s="1"/>
  <c r="E48" i="7"/>
  <c r="S47" i="7"/>
  <c r="R47" i="7"/>
  <c r="Q47" i="7"/>
  <c r="J47" i="7"/>
  <c r="K47" i="7" s="1"/>
  <c r="E47" i="7"/>
  <c r="S46" i="7"/>
  <c r="R46" i="7"/>
  <c r="Q46" i="7"/>
  <c r="J46" i="7"/>
  <c r="K46" i="7" s="1"/>
  <c r="E46" i="7"/>
  <c r="S45" i="7"/>
  <c r="R45" i="7"/>
  <c r="Q45" i="7"/>
  <c r="J45" i="7"/>
  <c r="K45" i="7" s="1"/>
  <c r="E45" i="7"/>
  <c r="S44" i="7"/>
  <c r="R44" i="7"/>
  <c r="Q44" i="7"/>
  <c r="J44" i="7"/>
  <c r="K44" i="7" s="1"/>
  <c r="E44" i="7"/>
  <c r="S43" i="7"/>
  <c r="R43" i="7"/>
  <c r="Q43" i="7"/>
  <c r="J43" i="7"/>
  <c r="K43" i="7" s="1"/>
  <c r="E43" i="7"/>
  <c r="S42" i="7"/>
  <c r="R42" i="7"/>
  <c r="Q42" i="7"/>
  <c r="J42" i="7"/>
  <c r="K42" i="7" s="1"/>
  <c r="E42" i="7"/>
  <c r="S41" i="7"/>
  <c r="R41" i="7"/>
  <c r="Q41" i="7"/>
  <c r="J41" i="7"/>
  <c r="K41" i="7" s="1"/>
  <c r="E41" i="7"/>
  <c r="S40" i="7"/>
  <c r="R40" i="7"/>
  <c r="Q40" i="7"/>
  <c r="J40" i="7"/>
  <c r="K40" i="7" s="1"/>
  <c r="E40" i="7"/>
  <c r="S39" i="7"/>
  <c r="R39" i="7"/>
  <c r="Q39" i="7"/>
  <c r="J39" i="7"/>
  <c r="K39" i="7" s="1"/>
  <c r="E39" i="7"/>
  <c r="S38" i="7"/>
  <c r="R38" i="7"/>
  <c r="Q38" i="7"/>
  <c r="J38" i="7"/>
  <c r="K38" i="7" s="1"/>
  <c r="E38" i="7"/>
  <c r="S37" i="7"/>
  <c r="R37" i="7"/>
  <c r="Q37" i="7"/>
  <c r="J37" i="7"/>
  <c r="K37" i="7" s="1"/>
  <c r="E37" i="7"/>
  <c r="S36" i="7"/>
  <c r="R36" i="7"/>
  <c r="Q36" i="7"/>
  <c r="J36" i="7"/>
  <c r="K36" i="7" s="1"/>
  <c r="E36" i="7"/>
  <c r="S35" i="7"/>
  <c r="R35" i="7"/>
  <c r="Q35" i="7"/>
  <c r="J35" i="7"/>
  <c r="K35" i="7" s="1"/>
  <c r="E35" i="7"/>
  <c r="S34" i="7"/>
  <c r="R34" i="7"/>
  <c r="Q34" i="7"/>
  <c r="J34" i="7"/>
  <c r="K34" i="7" s="1"/>
  <c r="E34" i="7"/>
  <c r="S33" i="7"/>
  <c r="R33" i="7"/>
  <c r="Q33" i="7"/>
  <c r="J33" i="7"/>
  <c r="K33" i="7" s="1"/>
  <c r="E33" i="7"/>
  <c r="S32" i="7"/>
  <c r="R32" i="7"/>
  <c r="Q32" i="7"/>
  <c r="J32" i="7"/>
  <c r="K32" i="7" s="1"/>
  <c r="E32" i="7"/>
  <c r="S31" i="7"/>
  <c r="R31" i="7"/>
  <c r="Q31" i="7"/>
  <c r="J31" i="7"/>
  <c r="K31" i="7" s="1"/>
  <c r="E31" i="7"/>
  <c r="S30" i="7"/>
  <c r="R30" i="7"/>
  <c r="Q30" i="7"/>
  <c r="J30" i="7"/>
  <c r="K30" i="7" s="1"/>
  <c r="E30" i="7"/>
  <c r="S29" i="7"/>
  <c r="R29" i="7"/>
  <c r="Q29" i="7"/>
  <c r="J29" i="7"/>
  <c r="K29" i="7" s="1"/>
  <c r="E29" i="7"/>
  <c r="S28" i="7"/>
  <c r="R28" i="7"/>
  <c r="Q28" i="7"/>
  <c r="J28" i="7"/>
  <c r="K28" i="7" s="1"/>
  <c r="E28" i="7"/>
  <c r="S27" i="7"/>
  <c r="R27" i="7"/>
  <c r="Q27" i="7"/>
  <c r="J27" i="7"/>
  <c r="K27" i="7" s="1"/>
  <c r="E27" i="7"/>
  <c r="S26" i="7"/>
  <c r="R26" i="7"/>
  <c r="Q26" i="7"/>
  <c r="J26" i="7"/>
  <c r="K26" i="7" s="1"/>
  <c r="E26" i="7"/>
  <c r="S25" i="7"/>
  <c r="R25" i="7"/>
  <c r="Q25" i="7"/>
  <c r="J25" i="7"/>
  <c r="K25" i="7" s="1"/>
  <c r="E25" i="7"/>
  <c r="S24" i="7"/>
  <c r="R24" i="7"/>
  <c r="Q24" i="7"/>
  <c r="J24" i="7"/>
  <c r="K24" i="7" s="1"/>
  <c r="E24" i="7"/>
  <c r="S23" i="7"/>
  <c r="R23" i="7"/>
  <c r="Q23" i="7"/>
  <c r="J23" i="7"/>
  <c r="K23" i="7" s="1"/>
  <c r="E23" i="7"/>
  <c r="S22" i="7"/>
  <c r="R22" i="7"/>
  <c r="Q22" i="7"/>
  <c r="J22" i="7"/>
  <c r="K22" i="7" s="1"/>
  <c r="E22" i="7"/>
  <c r="S21" i="7"/>
  <c r="R21" i="7"/>
  <c r="Q21" i="7"/>
  <c r="J21" i="7"/>
  <c r="K21" i="7" s="1"/>
  <c r="E21" i="7"/>
  <c r="S20" i="7"/>
  <c r="R20" i="7"/>
  <c r="Q20" i="7"/>
  <c r="J20" i="7"/>
  <c r="K20" i="7" s="1"/>
  <c r="E20" i="7"/>
  <c r="S19" i="7"/>
  <c r="R19" i="7"/>
  <c r="Q19" i="7"/>
  <c r="J19" i="7"/>
  <c r="K19" i="7" s="1"/>
  <c r="E19" i="7"/>
  <c r="S18" i="7"/>
  <c r="R18" i="7"/>
  <c r="Q18" i="7"/>
  <c r="J18" i="7"/>
  <c r="K18" i="7" s="1"/>
  <c r="E18" i="7"/>
  <c r="S17" i="7"/>
  <c r="R17" i="7"/>
  <c r="Q17" i="7"/>
  <c r="J17" i="7"/>
  <c r="K17" i="7" s="1"/>
  <c r="E17" i="7"/>
  <c r="S16" i="7"/>
  <c r="R16" i="7"/>
  <c r="Q16" i="7"/>
  <c r="J16" i="7"/>
  <c r="K16" i="7" s="1"/>
  <c r="E16" i="7"/>
  <c r="S15" i="7"/>
  <c r="R15" i="7"/>
  <c r="Q15" i="7"/>
  <c r="J15" i="7"/>
  <c r="K15" i="7" s="1"/>
  <c r="E15" i="7"/>
  <c r="S14" i="7"/>
  <c r="R14" i="7"/>
  <c r="Q14" i="7"/>
  <c r="J14" i="7"/>
  <c r="K14" i="7" s="1"/>
  <c r="E14" i="7"/>
  <c r="S13" i="7"/>
  <c r="R13" i="7"/>
  <c r="Q13" i="7"/>
  <c r="J13" i="7"/>
  <c r="K13" i="7" s="1"/>
  <c r="E13" i="7"/>
  <c r="S12" i="7"/>
  <c r="R12" i="7"/>
  <c r="Q12" i="7"/>
  <c r="J12" i="7"/>
  <c r="K12" i="7" s="1"/>
  <c r="E12" i="7"/>
  <c r="S11" i="7"/>
  <c r="R11" i="7"/>
  <c r="Q11" i="7"/>
  <c r="J11" i="7"/>
  <c r="K11" i="7" s="1"/>
  <c r="E11" i="7"/>
  <c r="S10" i="7"/>
  <c r="R10" i="7"/>
  <c r="Q10" i="7"/>
  <c r="J10" i="7"/>
  <c r="K10" i="7" s="1"/>
  <c r="E10" i="7"/>
  <c r="S9" i="7"/>
  <c r="R9" i="7"/>
  <c r="Q9" i="7"/>
  <c r="J9" i="7"/>
  <c r="K9" i="7" s="1"/>
  <c r="E9" i="7"/>
  <c r="S8" i="7"/>
  <c r="R8" i="7"/>
  <c r="Q8" i="7"/>
  <c r="J8" i="7"/>
  <c r="K8" i="7" s="1"/>
  <c r="E8" i="7"/>
  <c r="S7" i="7"/>
  <c r="R7" i="7"/>
  <c r="Q7" i="7"/>
  <c r="J7" i="7"/>
  <c r="K7" i="7" s="1"/>
  <c r="E7" i="7"/>
  <c r="S6" i="7"/>
  <c r="R6" i="7"/>
  <c r="Q6" i="7"/>
  <c r="J6" i="7"/>
  <c r="K6" i="7" s="1"/>
  <c r="E6" i="7"/>
  <c r="S5" i="7"/>
  <c r="R5" i="7"/>
  <c r="Q5" i="7"/>
  <c r="J5" i="7"/>
  <c r="K5" i="7" s="1"/>
  <c r="E5" i="7"/>
  <c r="S4" i="7"/>
  <c r="R4" i="7"/>
  <c r="Q4" i="7"/>
  <c r="J4" i="7"/>
  <c r="K4" i="7" s="1"/>
  <c r="E4" i="7"/>
  <c r="S3" i="7"/>
  <c r="R3" i="7"/>
  <c r="Q3" i="7"/>
  <c r="J3" i="7"/>
  <c r="K3" i="7" s="1"/>
  <c r="E3" i="7"/>
  <c r="S2" i="7"/>
  <c r="R2" i="7"/>
  <c r="Q2" i="7"/>
  <c r="J2" i="7"/>
  <c r="K2" i="7" s="1"/>
  <c r="E2" i="7"/>
  <c r="S50" i="6"/>
  <c r="R50" i="6"/>
  <c r="Q50" i="6"/>
  <c r="J50" i="6"/>
  <c r="Z50" i="6" s="1"/>
  <c r="E50" i="6"/>
  <c r="S49" i="6"/>
  <c r="R49" i="6"/>
  <c r="Q49" i="6"/>
  <c r="J49" i="6"/>
  <c r="Z49" i="6" s="1"/>
  <c r="E49" i="6"/>
  <c r="S48" i="6"/>
  <c r="R48" i="6"/>
  <c r="Q48" i="6"/>
  <c r="J48" i="6"/>
  <c r="Z48" i="6" s="1"/>
  <c r="E48" i="6"/>
  <c r="S47" i="6"/>
  <c r="R47" i="6"/>
  <c r="Q47" i="6"/>
  <c r="J47" i="6"/>
  <c r="Z47" i="6" s="1"/>
  <c r="E47" i="6"/>
  <c r="S46" i="6"/>
  <c r="R46" i="6"/>
  <c r="Q46" i="6"/>
  <c r="J46" i="6"/>
  <c r="Z46" i="6" s="1"/>
  <c r="E46" i="6"/>
  <c r="S45" i="6"/>
  <c r="R45" i="6"/>
  <c r="Q45" i="6"/>
  <c r="J45" i="6"/>
  <c r="Z45" i="6" s="1"/>
  <c r="E45" i="6"/>
  <c r="S44" i="6"/>
  <c r="R44" i="6"/>
  <c r="Q44" i="6"/>
  <c r="J44" i="6"/>
  <c r="Z44" i="6" s="1"/>
  <c r="E44" i="6"/>
  <c r="S43" i="6"/>
  <c r="R43" i="6"/>
  <c r="Q43" i="6"/>
  <c r="J43" i="6"/>
  <c r="Z43" i="6" s="1"/>
  <c r="E43" i="6"/>
  <c r="S42" i="6"/>
  <c r="R42" i="6"/>
  <c r="Q42" i="6"/>
  <c r="J42" i="6"/>
  <c r="Z42" i="6" s="1"/>
  <c r="E42" i="6"/>
  <c r="S41" i="6"/>
  <c r="R41" i="6"/>
  <c r="Q41" i="6"/>
  <c r="J41" i="6"/>
  <c r="Z41" i="6" s="1"/>
  <c r="E41" i="6"/>
  <c r="S40" i="6"/>
  <c r="R40" i="6"/>
  <c r="Q40" i="6"/>
  <c r="J40" i="6"/>
  <c r="Z40" i="6" s="1"/>
  <c r="E40" i="6"/>
  <c r="S39" i="6"/>
  <c r="R39" i="6"/>
  <c r="Q39" i="6"/>
  <c r="J39" i="6"/>
  <c r="Z39" i="6" s="1"/>
  <c r="E39" i="6"/>
  <c r="S38" i="6"/>
  <c r="R38" i="6"/>
  <c r="Q38" i="6"/>
  <c r="J38" i="6"/>
  <c r="Z38" i="6" s="1"/>
  <c r="E38" i="6"/>
  <c r="S37" i="6"/>
  <c r="R37" i="6"/>
  <c r="Q37" i="6"/>
  <c r="J37" i="6"/>
  <c r="Z37" i="6" s="1"/>
  <c r="E37" i="6"/>
  <c r="S36" i="6"/>
  <c r="R36" i="6"/>
  <c r="Q36" i="6"/>
  <c r="J36" i="6"/>
  <c r="Z36" i="6" s="1"/>
  <c r="E36" i="6"/>
  <c r="S35" i="6"/>
  <c r="R35" i="6"/>
  <c r="Q35" i="6"/>
  <c r="J35" i="6"/>
  <c r="Z35" i="6" s="1"/>
  <c r="E35" i="6"/>
  <c r="S34" i="6"/>
  <c r="R34" i="6"/>
  <c r="Q34" i="6"/>
  <c r="J34" i="6"/>
  <c r="Z34" i="6" s="1"/>
  <c r="E34" i="6"/>
  <c r="S33" i="6"/>
  <c r="R33" i="6"/>
  <c r="Q33" i="6"/>
  <c r="J33" i="6"/>
  <c r="Z33" i="6" s="1"/>
  <c r="E33" i="6"/>
  <c r="S32" i="6"/>
  <c r="R32" i="6"/>
  <c r="Q32" i="6"/>
  <c r="J32" i="6"/>
  <c r="Z32" i="6" s="1"/>
  <c r="E32" i="6"/>
  <c r="S31" i="6"/>
  <c r="R31" i="6"/>
  <c r="Q31" i="6"/>
  <c r="J31" i="6"/>
  <c r="Z31" i="6" s="1"/>
  <c r="E31" i="6"/>
  <c r="S30" i="6"/>
  <c r="R30" i="6"/>
  <c r="Q30" i="6"/>
  <c r="J30" i="6"/>
  <c r="Z30" i="6" s="1"/>
  <c r="E30" i="6"/>
  <c r="S29" i="6"/>
  <c r="R29" i="6"/>
  <c r="Q29" i="6"/>
  <c r="J29" i="6"/>
  <c r="Z29" i="6" s="1"/>
  <c r="E29" i="6"/>
  <c r="S28" i="6"/>
  <c r="R28" i="6"/>
  <c r="Q28" i="6"/>
  <c r="J28" i="6"/>
  <c r="Z28" i="6" s="1"/>
  <c r="E28" i="6"/>
  <c r="S27" i="6"/>
  <c r="R27" i="6"/>
  <c r="Q27" i="6"/>
  <c r="J27" i="6"/>
  <c r="Z27" i="6" s="1"/>
  <c r="E27" i="6"/>
  <c r="S26" i="6"/>
  <c r="R26" i="6"/>
  <c r="Q26" i="6"/>
  <c r="J26" i="6"/>
  <c r="Z26" i="6" s="1"/>
  <c r="E26" i="6"/>
  <c r="S25" i="6"/>
  <c r="R25" i="6"/>
  <c r="Q25" i="6"/>
  <c r="J25" i="6"/>
  <c r="Z25" i="6" s="1"/>
  <c r="E25" i="6"/>
  <c r="S24" i="6"/>
  <c r="R24" i="6"/>
  <c r="Q24" i="6"/>
  <c r="J24" i="6"/>
  <c r="Z24" i="6" s="1"/>
  <c r="E24" i="6"/>
  <c r="S23" i="6"/>
  <c r="R23" i="6"/>
  <c r="Q23" i="6"/>
  <c r="J23" i="6"/>
  <c r="Z23" i="6" s="1"/>
  <c r="E23" i="6"/>
  <c r="S22" i="6"/>
  <c r="R22" i="6"/>
  <c r="Q22" i="6"/>
  <c r="J22" i="6"/>
  <c r="Z22" i="6" s="1"/>
  <c r="E22" i="6"/>
  <c r="S21" i="6"/>
  <c r="R21" i="6"/>
  <c r="Q21" i="6"/>
  <c r="J21" i="6"/>
  <c r="E21" i="6"/>
  <c r="S20" i="6"/>
  <c r="R20" i="6"/>
  <c r="Q20" i="6"/>
  <c r="J20" i="6"/>
  <c r="Z20" i="6" s="1"/>
  <c r="E20" i="6"/>
  <c r="S19" i="6"/>
  <c r="R19" i="6"/>
  <c r="Q19" i="6"/>
  <c r="J19" i="6"/>
  <c r="Z19" i="6" s="1"/>
  <c r="E19" i="6"/>
  <c r="S18" i="6"/>
  <c r="R18" i="6"/>
  <c r="Q18" i="6"/>
  <c r="J18" i="6"/>
  <c r="Z18" i="6" s="1"/>
  <c r="E18" i="6"/>
  <c r="S17" i="6"/>
  <c r="R17" i="6"/>
  <c r="Q17" i="6"/>
  <c r="J17" i="6"/>
  <c r="Z17" i="6" s="1"/>
  <c r="E17" i="6"/>
  <c r="S16" i="6"/>
  <c r="R16" i="6"/>
  <c r="Q16" i="6"/>
  <c r="J16" i="6"/>
  <c r="Z16" i="6" s="1"/>
  <c r="E16" i="6"/>
  <c r="S15" i="6"/>
  <c r="R15" i="6"/>
  <c r="Q15" i="6"/>
  <c r="J15" i="6"/>
  <c r="Z15" i="6" s="1"/>
  <c r="E15" i="6"/>
  <c r="S14" i="6"/>
  <c r="R14" i="6"/>
  <c r="Q14" i="6"/>
  <c r="J14" i="6"/>
  <c r="Z14" i="6" s="1"/>
  <c r="E14" i="6"/>
  <c r="S13" i="6"/>
  <c r="R13" i="6"/>
  <c r="Q13" i="6"/>
  <c r="J13" i="6"/>
  <c r="Z13" i="6" s="1"/>
  <c r="E13" i="6"/>
  <c r="S12" i="6"/>
  <c r="R12" i="6"/>
  <c r="Q12" i="6"/>
  <c r="J12" i="6"/>
  <c r="Z12" i="6" s="1"/>
  <c r="E12" i="6"/>
  <c r="S11" i="6"/>
  <c r="R11" i="6"/>
  <c r="Q11" i="6"/>
  <c r="J11" i="6"/>
  <c r="Z11" i="6" s="1"/>
  <c r="E11" i="6"/>
  <c r="S10" i="6"/>
  <c r="R10" i="6"/>
  <c r="Q10" i="6"/>
  <c r="K10" i="6"/>
  <c r="E10" i="6"/>
  <c r="S9" i="6"/>
  <c r="R9" i="6"/>
  <c r="Q9" i="6"/>
  <c r="J9" i="6"/>
  <c r="Z9" i="6" s="1"/>
  <c r="E9" i="6"/>
  <c r="S8" i="6"/>
  <c r="R8" i="6"/>
  <c r="Q8" i="6"/>
  <c r="J8" i="6"/>
  <c r="Z8" i="6" s="1"/>
  <c r="E8" i="6"/>
  <c r="S7" i="6"/>
  <c r="R7" i="6"/>
  <c r="Q7" i="6"/>
  <c r="J7" i="6"/>
  <c r="Z7" i="6" s="1"/>
  <c r="E7" i="6"/>
  <c r="S6" i="6"/>
  <c r="R6" i="6"/>
  <c r="Q6" i="6"/>
  <c r="J6" i="6"/>
  <c r="Z6" i="6" s="1"/>
  <c r="E6" i="6"/>
  <c r="S5" i="6"/>
  <c r="R5" i="6"/>
  <c r="Q5" i="6"/>
  <c r="J5" i="6"/>
  <c r="Z5" i="6" s="1"/>
  <c r="E5" i="6"/>
  <c r="S4" i="6"/>
  <c r="R4" i="6"/>
  <c r="Q4" i="6"/>
  <c r="J4" i="6"/>
  <c r="Z4" i="6" s="1"/>
  <c r="E4" i="6"/>
  <c r="S3" i="6"/>
  <c r="R3" i="6"/>
  <c r="Q3" i="6"/>
  <c r="J3" i="6"/>
  <c r="Z3" i="6" s="1"/>
  <c r="E3" i="6"/>
  <c r="S2" i="6"/>
  <c r="R2" i="6"/>
  <c r="Q2" i="6"/>
  <c r="J2" i="6"/>
  <c r="E2" i="6"/>
  <c r="C7" i="3"/>
  <c r="C6" i="3"/>
  <c r="C5" i="3"/>
  <c r="C4" i="3"/>
  <c r="C2" i="3"/>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J51" i="2"/>
  <c r="K51" i="2" s="1"/>
  <c r="J50" i="2"/>
  <c r="K50" i="2" s="1"/>
  <c r="J49" i="2"/>
  <c r="K49" i="2" s="1"/>
  <c r="J48" i="2"/>
  <c r="K48" i="2" s="1"/>
  <c r="J47" i="2"/>
  <c r="K47" i="2" s="1"/>
  <c r="J46" i="2"/>
  <c r="K46" i="2" s="1"/>
  <c r="J45" i="2"/>
  <c r="K45" i="2" s="1"/>
  <c r="J44" i="2"/>
  <c r="K44" i="2" s="1"/>
  <c r="J43" i="2"/>
  <c r="K43" i="2" s="1"/>
  <c r="J42" i="2"/>
  <c r="K42" i="2" s="1"/>
  <c r="J41" i="2"/>
  <c r="K41" i="2" s="1"/>
  <c r="J40" i="2"/>
  <c r="K40" i="2" s="1"/>
  <c r="J39" i="2"/>
  <c r="K39" i="2" s="1"/>
  <c r="J38" i="2"/>
  <c r="K38" i="2" s="1"/>
  <c r="J37" i="2"/>
  <c r="K37" i="2" s="1"/>
  <c r="J36" i="2"/>
  <c r="K36" i="2" s="1"/>
  <c r="J35" i="2"/>
  <c r="K35" i="2" s="1"/>
  <c r="J34" i="2"/>
  <c r="K34" i="2" s="1"/>
  <c r="J33" i="2"/>
  <c r="K33" i="2" s="1"/>
  <c r="J32" i="2"/>
  <c r="K32" i="2" s="1"/>
  <c r="J31" i="2"/>
  <c r="K31" i="2" s="1"/>
  <c r="J30" i="2"/>
  <c r="K30" i="2" s="1"/>
  <c r="J29" i="2"/>
  <c r="K29" i="2" s="1"/>
  <c r="J28" i="2"/>
  <c r="K28" i="2" s="1"/>
  <c r="J27" i="2"/>
  <c r="K27" i="2" s="1"/>
  <c r="J26" i="2"/>
  <c r="K26" i="2" s="1"/>
  <c r="J25" i="2"/>
  <c r="K25" i="2" s="1"/>
  <c r="J24" i="2"/>
  <c r="K24" i="2" s="1"/>
  <c r="J23" i="2"/>
  <c r="K23" i="2" s="1"/>
  <c r="J22" i="2"/>
  <c r="K22" i="2" s="1"/>
  <c r="J21" i="2"/>
  <c r="K21" i="2" s="1"/>
  <c r="J20" i="2"/>
  <c r="K20" i="2" s="1"/>
  <c r="J19" i="2"/>
  <c r="K19" i="2" s="1"/>
  <c r="J18" i="2"/>
  <c r="K18" i="2" s="1"/>
  <c r="J17" i="2"/>
  <c r="K17" i="2" s="1"/>
  <c r="J16" i="2"/>
  <c r="K16" i="2" s="1"/>
  <c r="J15" i="2"/>
  <c r="K15" i="2" s="1"/>
  <c r="J14" i="2"/>
  <c r="K14" i="2" s="1"/>
  <c r="J13" i="2"/>
  <c r="K13" i="2" s="1"/>
  <c r="J12" i="2"/>
  <c r="K12" i="2" s="1"/>
  <c r="J11" i="2"/>
  <c r="K11" i="2" s="1"/>
  <c r="J10" i="2"/>
  <c r="K10" i="2" s="1"/>
  <c r="J9" i="2"/>
  <c r="K9" i="2" s="1"/>
  <c r="J8" i="2"/>
  <c r="K8" i="2" s="1"/>
  <c r="J7" i="2"/>
  <c r="K7" i="2" s="1"/>
  <c r="J6" i="2"/>
  <c r="K6" i="2" s="1"/>
  <c r="J5" i="2"/>
  <c r="K5" i="2" s="1"/>
  <c r="J4" i="2"/>
  <c r="K4" i="2" s="1"/>
  <c r="J3" i="2"/>
  <c r="K3" i="2" s="1"/>
  <c r="J2" i="2"/>
  <c r="K2" i="2" s="1"/>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N2" i="1"/>
  <c r="N3" i="1"/>
  <c r="N4" i="1"/>
  <c r="N5" i="1"/>
  <c r="N6" i="1"/>
  <c r="N7" i="1"/>
  <c r="N8" i="1"/>
  <c r="N9" i="1"/>
  <c r="N10" i="1"/>
  <c r="N11" i="1"/>
  <c r="M2" i="1"/>
  <c r="M3" i="1"/>
  <c r="M4" i="1"/>
  <c r="M5" i="1"/>
  <c r="M6" i="1"/>
  <c r="M7" i="1"/>
  <c r="M8" i="1"/>
  <c r="M9" i="1"/>
  <c r="M10" i="1"/>
  <c r="M11" i="1"/>
  <c r="C22" i="1" a="1"/>
  <c r="C20" i="1"/>
  <c r="C19" i="1"/>
  <c r="C18" i="1"/>
  <c r="F3" i="33" l="1"/>
  <c r="F4" i="33"/>
  <c r="F5" i="33"/>
  <c r="F6" i="33"/>
  <c r="F7" i="33"/>
  <c r="G7" i="33" s="1"/>
  <c r="I7" i="33" s="1"/>
  <c r="J7" i="33" s="1"/>
  <c r="F8" i="33"/>
  <c r="G8" i="33" s="1"/>
  <c r="I8" i="33" s="1"/>
  <c r="J8" i="33" s="1"/>
  <c r="F9" i="33"/>
  <c r="G9" i="33" s="1"/>
  <c r="I9" i="33" s="1"/>
  <c r="J9" i="33" s="1"/>
  <c r="F10" i="33"/>
  <c r="G10" i="33" s="1"/>
  <c r="I10" i="33" s="1"/>
  <c r="J10" i="33" s="1"/>
  <c r="F11" i="33"/>
  <c r="G11" i="33" s="1"/>
  <c r="I11" i="33" s="1"/>
  <c r="J11" i="33" s="1"/>
  <c r="F2" i="33"/>
  <c r="G2" i="33" s="1"/>
  <c r="I2" i="33" s="1"/>
  <c r="J2" i="33" s="1"/>
  <c r="G3" i="33"/>
  <c r="I3" i="33" s="1"/>
  <c r="J3" i="33" s="1"/>
  <c r="E3" i="33"/>
  <c r="P3" i="33" s="1"/>
  <c r="G4" i="33"/>
  <c r="I4" i="33" s="1"/>
  <c r="J4" i="33" s="1"/>
  <c r="E4" i="33"/>
  <c r="P4" i="33" s="1"/>
  <c r="G5" i="33"/>
  <c r="I5" i="33" s="1"/>
  <c r="J5" i="33" s="1"/>
  <c r="E5" i="33"/>
  <c r="P5" i="33" s="1"/>
  <c r="G6" i="33"/>
  <c r="I6" i="33" s="1"/>
  <c r="J6" i="33" s="1"/>
  <c r="E6" i="33"/>
  <c r="P6" i="33" s="1"/>
  <c r="E7" i="33"/>
  <c r="P7" i="33" s="1"/>
  <c r="E8" i="33"/>
  <c r="P8" i="33" s="1"/>
  <c r="E9" i="33"/>
  <c r="P9" i="33" s="1"/>
  <c r="E10" i="33"/>
  <c r="P10" i="33" s="1"/>
  <c r="E11" i="33"/>
  <c r="P11" i="33" s="1"/>
  <c r="E2" i="33"/>
  <c r="P2" i="33" s="1"/>
  <c r="Q8" i="32"/>
  <c r="Q9" i="32"/>
  <c r="Q5" i="32"/>
  <c r="Q6" i="32"/>
  <c r="R3" i="32"/>
  <c r="Q3" i="32"/>
  <c r="Q7" i="32"/>
  <c r="Q2" i="32"/>
  <c r="Q10" i="32"/>
  <c r="Q11" i="32"/>
  <c r="Q4" i="32"/>
  <c r="G5" i="3"/>
  <c r="T10" i="6"/>
  <c r="AC10" i="6"/>
  <c r="G4" i="3"/>
  <c r="Y21" i="6"/>
  <c r="Z21" i="6"/>
  <c r="AA21" i="6" s="1"/>
  <c r="Y2" i="6"/>
  <c r="Z2" i="6"/>
  <c r="K51" i="6"/>
  <c r="AC51" i="6" s="1"/>
  <c r="Y51" i="6"/>
  <c r="K50" i="6"/>
  <c r="AC50" i="6" s="1"/>
  <c r="Y50" i="6"/>
  <c r="K49" i="6"/>
  <c r="AC49" i="6" s="1"/>
  <c r="Y49" i="6"/>
  <c r="K48" i="6"/>
  <c r="AC48" i="6" s="1"/>
  <c r="Y48" i="6"/>
  <c r="K47" i="6"/>
  <c r="Y47" i="6"/>
  <c r="K46" i="6"/>
  <c r="AC46" i="6" s="1"/>
  <c r="Y46" i="6"/>
  <c r="K45" i="6"/>
  <c r="AC45" i="6" s="1"/>
  <c r="Y45" i="6"/>
  <c r="K44" i="6"/>
  <c r="AC44" i="6" s="1"/>
  <c r="Y44" i="6"/>
  <c r="K43" i="6"/>
  <c r="Y43" i="6"/>
  <c r="K42" i="6"/>
  <c r="AC42" i="6" s="1"/>
  <c r="Y42" i="6"/>
  <c r="K41" i="6"/>
  <c r="AC41" i="6" s="1"/>
  <c r="Y41" i="6"/>
  <c r="K40" i="6"/>
  <c r="AC40" i="6" s="1"/>
  <c r="Y40" i="6"/>
  <c r="K39" i="6"/>
  <c r="AC39" i="6" s="1"/>
  <c r="Y39" i="6"/>
  <c r="K38" i="6"/>
  <c r="AC38" i="6" s="1"/>
  <c r="Y38" i="6"/>
  <c r="K37" i="6"/>
  <c r="AC37" i="6" s="1"/>
  <c r="Y37" i="6"/>
  <c r="K36" i="6"/>
  <c r="AC36" i="6" s="1"/>
  <c r="Y36" i="6"/>
  <c r="K35" i="6"/>
  <c r="AC35" i="6" s="1"/>
  <c r="Y35" i="6"/>
  <c r="K34" i="6"/>
  <c r="AC34" i="6" s="1"/>
  <c r="Y34" i="6"/>
  <c r="K33" i="6"/>
  <c r="AC33" i="6" s="1"/>
  <c r="Y33" i="6"/>
  <c r="K32" i="6"/>
  <c r="AC32" i="6" s="1"/>
  <c r="Y32" i="6"/>
  <c r="K31" i="6"/>
  <c r="AC31" i="6" s="1"/>
  <c r="Y31" i="6"/>
  <c r="K30" i="6"/>
  <c r="AC30" i="6" s="1"/>
  <c r="Y30" i="6"/>
  <c r="K29" i="6"/>
  <c r="AC29" i="6" s="1"/>
  <c r="Y29" i="6"/>
  <c r="K28" i="6"/>
  <c r="AC28" i="6" s="1"/>
  <c r="Y28" i="6"/>
  <c r="K27" i="6"/>
  <c r="AC27" i="6" s="1"/>
  <c r="Y27" i="6"/>
  <c r="K26" i="6"/>
  <c r="AC26" i="6" s="1"/>
  <c r="Y26" i="6"/>
  <c r="K25" i="6"/>
  <c r="AC25" i="6" s="1"/>
  <c r="Y25" i="6"/>
  <c r="K24" i="6"/>
  <c r="AC24" i="6" s="1"/>
  <c r="Y24" i="6"/>
  <c r="K23" i="6"/>
  <c r="AC23" i="6" s="1"/>
  <c r="Y23" i="6"/>
  <c r="K22" i="6"/>
  <c r="AC22" i="6" s="1"/>
  <c r="Y22" i="6"/>
  <c r="K20" i="6"/>
  <c r="AC20" i="6" s="1"/>
  <c r="Y20" i="6"/>
  <c r="K19" i="6"/>
  <c r="Y19" i="6"/>
  <c r="K18" i="6"/>
  <c r="AC18" i="6" s="1"/>
  <c r="Y18" i="6"/>
  <c r="K17" i="6"/>
  <c r="AC17" i="6" s="1"/>
  <c r="Y17" i="6"/>
  <c r="K16" i="6"/>
  <c r="AC16" i="6" s="1"/>
  <c r="Y16" i="6"/>
  <c r="K15" i="6"/>
  <c r="AC15" i="6" s="1"/>
  <c r="Y15" i="6"/>
  <c r="K14" i="6"/>
  <c r="Y14" i="6"/>
  <c r="K13" i="6"/>
  <c r="AC13" i="6" s="1"/>
  <c r="Y13" i="6"/>
  <c r="K12" i="6"/>
  <c r="AC12" i="6" s="1"/>
  <c r="Y12" i="6"/>
  <c r="K11" i="6"/>
  <c r="AC11" i="6" s="1"/>
  <c r="Y11" i="6"/>
  <c r="K9" i="6"/>
  <c r="AC9" i="6" s="1"/>
  <c r="Y9" i="6"/>
  <c r="K8" i="6"/>
  <c r="Y8" i="6"/>
  <c r="K7" i="6"/>
  <c r="AC7" i="6" s="1"/>
  <c r="Y7" i="6"/>
  <c r="K6" i="6"/>
  <c r="Y6" i="6"/>
  <c r="K5" i="6"/>
  <c r="AC5" i="6" s="1"/>
  <c r="Y5" i="6"/>
  <c r="K4" i="6"/>
  <c r="AC4" i="6" s="1"/>
  <c r="Y4" i="6"/>
  <c r="K3" i="6"/>
  <c r="Y3" i="6"/>
  <c r="K2" i="6"/>
  <c r="C3" i="3"/>
  <c r="C30" i="33" l="1"/>
  <c r="C28" i="33"/>
  <c r="M3" i="33"/>
  <c r="N3" i="33" s="1"/>
  <c r="O3" i="33"/>
  <c r="M4" i="33"/>
  <c r="N4" i="33" s="1"/>
  <c r="O4" i="33"/>
  <c r="M5" i="33"/>
  <c r="N5" i="33" s="1"/>
  <c r="O5" i="33"/>
  <c r="M6" i="33"/>
  <c r="N6" i="33" s="1"/>
  <c r="O6" i="33"/>
  <c r="M7" i="33"/>
  <c r="N7" i="33" s="1"/>
  <c r="O7" i="33"/>
  <c r="M8" i="33"/>
  <c r="N8" i="33" s="1"/>
  <c r="O8" i="33"/>
  <c r="M9" i="33"/>
  <c r="N9" i="33" s="1"/>
  <c r="O9" i="33"/>
  <c r="M10" i="33"/>
  <c r="N10" i="33" s="1"/>
  <c r="O10" i="33"/>
  <c r="M11" i="33"/>
  <c r="N11" i="33" s="1"/>
  <c r="O11" i="33"/>
  <c r="M2" i="33"/>
  <c r="N2" i="33" s="1"/>
  <c r="O2" i="33"/>
  <c r="T2" i="6"/>
  <c r="AC2" i="6"/>
  <c r="AA2" i="6"/>
  <c r="T51" i="6"/>
  <c r="AA51" i="6"/>
  <c r="T50" i="6"/>
  <c r="AA50" i="6"/>
  <c r="T49" i="6"/>
  <c r="AA49" i="6"/>
  <c r="T48" i="6"/>
  <c r="AA48" i="6"/>
  <c r="T47" i="6"/>
  <c r="AA47" i="6"/>
  <c r="T46" i="6"/>
  <c r="AA46" i="6"/>
  <c r="T45" i="6"/>
  <c r="AA45" i="6"/>
  <c r="T44" i="6"/>
  <c r="AA44" i="6"/>
  <c r="T43" i="6"/>
  <c r="AA43" i="6"/>
  <c r="T42" i="6"/>
  <c r="AA42" i="6"/>
  <c r="T41" i="6"/>
  <c r="AA41" i="6"/>
  <c r="T40" i="6"/>
  <c r="AA40" i="6"/>
  <c r="T39" i="6"/>
  <c r="AA39" i="6"/>
  <c r="T38" i="6"/>
  <c r="AA38" i="6"/>
  <c r="T37" i="6"/>
  <c r="AA37" i="6"/>
  <c r="T36" i="6"/>
  <c r="AA36" i="6"/>
  <c r="T35" i="6"/>
  <c r="AA35" i="6"/>
  <c r="T34" i="6"/>
  <c r="AA34" i="6"/>
  <c r="T33" i="6"/>
  <c r="AA33" i="6"/>
  <c r="T32" i="6"/>
  <c r="AA32" i="6"/>
  <c r="T31" i="6"/>
  <c r="AA31" i="6"/>
  <c r="T30" i="6"/>
  <c r="AA30" i="6"/>
  <c r="T29" i="6"/>
  <c r="AA29" i="6"/>
  <c r="T28" i="6"/>
  <c r="AA28" i="6"/>
  <c r="T27" i="6"/>
  <c r="AA27" i="6"/>
  <c r="T26" i="6"/>
  <c r="AA26" i="6"/>
  <c r="T25" i="6"/>
  <c r="AA25" i="6"/>
  <c r="T24" i="6"/>
  <c r="AA24" i="6"/>
  <c r="T23" i="6"/>
  <c r="AA23" i="6"/>
  <c r="T22" i="6"/>
  <c r="AA22" i="6"/>
  <c r="T20" i="6"/>
  <c r="AA20" i="6"/>
  <c r="T19" i="6"/>
  <c r="AA19" i="6"/>
  <c r="T18" i="6"/>
  <c r="AA18" i="6"/>
  <c r="T17" i="6"/>
  <c r="AA17" i="6"/>
  <c r="T16" i="6"/>
  <c r="AA16" i="6"/>
  <c r="T15" i="6"/>
  <c r="AA15" i="6"/>
  <c r="T14" i="6"/>
  <c r="AA14" i="6"/>
  <c r="T13" i="6"/>
  <c r="AA13" i="6"/>
  <c r="T12" i="6"/>
  <c r="AA12" i="6"/>
  <c r="T11" i="6"/>
  <c r="AA11" i="6"/>
  <c r="T9" i="6"/>
  <c r="AA9" i="6"/>
  <c r="T8" i="6"/>
  <c r="AA8" i="6"/>
  <c r="T7" i="6"/>
  <c r="AA7" i="6"/>
  <c r="T6" i="6"/>
  <c r="AA6" i="6"/>
  <c r="T5" i="6"/>
  <c r="AA5" i="6"/>
  <c r="T4" i="6"/>
  <c r="AA4" i="6"/>
  <c r="T3" i="6"/>
  <c r="AA3" i="6"/>
  <c r="J8" i="3" l="1"/>
  <c r="J3" i="3"/>
  <c r="G6"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<sst xmlns="http://schemas.openxmlformats.org/spreadsheetml/2006/main" count="2227" uniqueCount="360">
  <si>
    <t>Hospital_ID</t>
  </si>
  <si>
    <t>Hospital_Name</t>
  </si>
  <si>
    <t>Country</t>
  </si>
  <si>
    <t>Hospital_Type</t>
  </si>
  <si>
    <t>Beds</t>
  </si>
  <si>
    <t>EHR_System</t>
  </si>
  <si>
    <t>FHIR_Enabled</t>
  </si>
  <si>
    <t>SNOMED_CT</t>
  </si>
  <si>
    <t>LOINC</t>
  </si>
  <si>
    <t>Patient_Portal</t>
  </si>
  <si>
    <t>Digital_Training_Pct</t>
  </si>
  <si>
    <t>H001</t>
  </si>
  <si>
    <t>H002</t>
  </si>
  <si>
    <t>H003</t>
  </si>
  <si>
    <t>H004</t>
  </si>
  <si>
    <t>H005</t>
  </si>
  <si>
    <t>H006</t>
  </si>
  <si>
    <t>H007</t>
  </si>
  <si>
    <t>H008</t>
  </si>
  <si>
    <t>H009</t>
  </si>
  <si>
    <t>H010</t>
  </si>
  <si>
    <t>Nova Medical Centre</t>
  </si>
  <si>
    <t>Germany</t>
  </si>
  <si>
    <t>Aurora Medical Centre</t>
  </si>
  <si>
    <t>Helis General Hospital</t>
  </si>
  <si>
    <t>St. Clara Medical Centre</t>
  </si>
  <si>
    <t>Europa Health Institute</t>
  </si>
  <si>
    <t>Netherland</t>
  </si>
  <si>
    <t>Austria</t>
  </si>
  <si>
    <t>France</t>
  </si>
  <si>
    <t xml:space="preserve">Belgium </t>
  </si>
  <si>
    <t>Sweden</t>
  </si>
  <si>
    <t>Denmark</t>
  </si>
  <si>
    <t>Finland</t>
  </si>
  <si>
    <t>Spain</t>
  </si>
  <si>
    <t>Italy</t>
  </si>
  <si>
    <t>Marbel General Hospital</t>
  </si>
  <si>
    <t>Helix Medical Centre</t>
  </si>
  <si>
    <t>St.Aldric University Hospital</t>
  </si>
  <si>
    <t>Clinica Santa Marisol</t>
  </si>
  <si>
    <t>Nordhavan Regional Medical Centre</t>
  </si>
  <si>
    <t>University Hospital</t>
  </si>
  <si>
    <t>Community Hospital</t>
  </si>
  <si>
    <t>General Hospital</t>
  </si>
  <si>
    <t>Speciality Hospital</t>
  </si>
  <si>
    <t>Private Multispecialty Hospital</t>
  </si>
  <si>
    <t>MediCore Suite</t>
  </si>
  <si>
    <t>CareLink Connect</t>
  </si>
  <si>
    <t>Vitalis  Clinical</t>
  </si>
  <si>
    <t>NexaChart Pro</t>
  </si>
  <si>
    <t xml:space="preserve">Solvia HIS </t>
  </si>
  <si>
    <t>EHR_Adoption_Pct</t>
  </si>
  <si>
    <t>Partial</t>
  </si>
  <si>
    <t>Yes</t>
  </si>
  <si>
    <t>No</t>
  </si>
  <si>
    <t>Limited</t>
  </si>
  <si>
    <t>Q 1</t>
  </si>
  <si>
    <t>How many hospitals are fully FHIR-enabled?</t>
  </si>
  <si>
    <t>What is the average EHR adoption?</t>
  </si>
  <si>
    <t>Q 2</t>
  </si>
  <si>
    <t>Q 3</t>
  </si>
  <si>
    <t>What is the average digital-training percentage?</t>
  </si>
  <si>
    <t>Q 4</t>
  </si>
  <si>
    <t>How many hospitals use SNOMED CT fully?</t>
  </si>
  <si>
    <t>Q 5</t>
  </si>
  <si>
    <t>How many hospitals have:EHR adoption ≥90% but are not fully FHIR-enabled?</t>
  </si>
  <si>
    <t>Digital_Readiness_Level</t>
  </si>
  <si>
    <t>Digital_Gap</t>
  </si>
  <si>
    <t>Encounter_ID</t>
  </si>
  <si>
    <t>Patient_ID</t>
  </si>
  <si>
    <t>Age</t>
  </si>
  <si>
    <t>Age_Group</t>
  </si>
  <si>
    <t>Sex</t>
  </si>
  <si>
    <t>Department</t>
  </si>
  <si>
    <t>Admission_Type</t>
  </si>
  <si>
    <t>Admission_Date</t>
  </si>
  <si>
    <t>Discharge_Date</t>
  </si>
  <si>
    <t>LOS_Days</t>
  </si>
  <si>
    <t>Readmission_30D</t>
  </si>
  <si>
    <t>Discharge_Destination</t>
  </si>
  <si>
    <t>Documentation_Complete</t>
  </si>
  <si>
    <t>Duplicate_Test</t>
  </si>
  <si>
    <t>Referral_Required</t>
  </si>
  <si>
    <t>E0001</t>
  </si>
  <si>
    <t>E0002</t>
  </si>
  <si>
    <t>E0003</t>
  </si>
  <si>
    <t>E0004</t>
  </si>
  <si>
    <t>E0005</t>
  </si>
  <si>
    <t>E0006</t>
  </si>
  <si>
    <t>E0007</t>
  </si>
  <si>
    <t>E0008</t>
  </si>
  <si>
    <t>E0009</t>
  </si>
  <si>
    <t>E0010</t>
  </si>
  <si>
    <t>E0011</t>
  </si>
  <si>
    <t>E0012</t>
  </si>
  <si>
    <t>E0013</t>
  </si>
  <si>
    <t>E0014</t>
  </si>
  <si>
    <t>E0015</t>
  </si>
  <si>
    <t>E0016</t>
  </si>
  <si>
    <t>E0017</t>
  </si>
  <si>
    <t>E0018</t>
  </si>
  <si>
    <t>E0019</t>
  </si>
  <si>
    <t>E0020</t>
  </si>
  <si>
    <t>E0021</t>
  </si>
  <si>
    <t>E0022</t>
  </si>
  <si>
    <t>E0023</t>
  </si>
  <si>
    <t>E0024</t>
  </si>
  <si>
    <t>E0025</t>
  </si>
  <si>
    <t>E0026</t>
  </si>
  <si>
    <t>E0027</t>
  </si>
  <si>
    <t>E0028</t>
  </si>
  <si>
    <t>E0029</t>
  </si>
  <si>
    <t>E0030</t>
  </si>
  <si>
    <t>E0031</t>
  </si>
  <si>
    <t>E0032</t>
  </si>
  <si>
    <t>E0033</t>
  </si>
  <si>
    <t>E0034</t>
  </si>
  <si>
    <t>E0035</t>
  </si>
  <si>
    <t>E0036</t>
  </si>
  <si>
    <t>E0037</t>
  </si>
  <si>
    <t>E0038</t>
  </si>
  <si>
    <t>E0039</t>
  </si>
  <si>
    <t>E0040</t>
  </si>
  <si>
    <t>E0041</t>
  </si>
  <si>
    <t>E0042</t>
  </si>
  <si>
    <t>E0043</t>
  </si>
  <si>
    <t>E0044</t>
  </si>
  <si>
    <t>E0045</t>
  </si>
  <si>
    <t>E0046</t>
  </si>
  <si>
    <t>E0047</t>
  </si>
  <si>
    <t>E0048</t>
  </si>
  <si>
    <t>E0049</t>
  </si>
  <si>
    <t>E0050</t>
  </si>
  <si>
    <t>P0001</t>
  </si>
  <si>
    <t>P0002</t>
  </si>
  <si>
    <t>P0003</t>
  </si>
  <si>
    <t>P0004</t>
  </si>
  <si>
    <t>P0005</t>
  </si>
  <si>
    <t>P0006</t>
  </si>
  <si>
    <t>P0007</t>
  </si>
  <si>
    <t>P0008</t>
  </si>
  <si>
    <t>P0009</t>
  </si>
  <si>
    <t>P0010</t>
  </si>
  <si>
    <t>P0011</t>
  </si>
  <si>
    <t>P0012</t>
  </si>
  <si>
    <t>P0013</t>
  </si>
  <si>
    <t>P0014</t>
  </si>
  <si>
    <t>P0015</t>
  </si>
  <si>
    <t>P0016</t>
  </si>
  <si>
    <t>P0017</t>
  </si>
  <si>
    <t>P0018</t>
  </si>
  <si>
    <t>P0019</t>
  </si>
  <si>
    <t>P0020</t>
  </si>
  <si>
    <t>P0021</t>
  </si>
  <si>
    <t>P0022</t>
  </si>
  <si>
    <t>P0023</t>
  </si>
  <si>
    <t>P0024</t>
  </si>
  <si>
    <t>P0025</t>
  </si>
  <si>
    <t>P0026</t>
  </si>
  <si>
    <t>P0027</t>
  </si>
  <si>
    <t>P0028</t>
  </si>
  <si>
    <t>P0029</t>
  </si>
  <si>
    <t>P0030</t>
  </si>
  <si>
    <t>P0031</t>
  </si>
  <si>
    <t>P0032</t>
  </si>
  <si>
    <t>P0033</t>
  </si>
  <si>
    <t>P0034</t>
  </si>
  <si>
    <t>P0035</t>
  </si>
  <si>
    <t>P0036</t>
  </si>
  <si>
    <t>P0037</t>
  </si>
  <si>
    <t>P0038</t>
  </si>
  <si>
    <t>P0039</t>
  </si>
  <si>
    <t>P0040</t>
  </si>
  <si>
    <t>P0041</t>
  </si>
  <si>
    <t>P0042</t>
  </si>
  <si>
    <t>P0043</t>
  </si>
  <si>
    <t>P0044</t>
  </si>
  <si>
    <t>P0045</t>
  </si>
  <si>
    <t>P0046</t>
  </si>
  <si>
    <t>P0047</t>
  </si>
  <si>
    <t>P0048</t>
  </si>
  <si>
    <t>P0049</t>
  </si>
  <si>
    <t>P0050</t>
  </si>
  <si>
    <t>Male</t>
  </si>
  <si>
    <t>Female</t>
  </si>
  <si>
    <t>General Medicine</t>
  </si>
  <si>
    <t>Cardiology</t>
  </si>
  <si>
    <t>Neurology</t>
  </si>
  <si>
    <t>Orthopaedics</t>
  </si>
  <si>
    <t>Psychiatry</t>
  </si>
  <si>
    <t>General Surgery</t>
  </si>
  <si>
    <t>Emergency</t>
  </si>
  <si>
    <t>Planned</t>
  </si>
  <si>
    <t>Home</t>
  </si>
  <si>
    <t>Rehabilitation</t>
  </si>
  <si>
    <t>Another Hospital</t>
  </si>
  <si>
    <t>Nursing Facility</t>
  </si>
  <si>
    <t>Against Medical Advice</t>
  </si>
  <si>
    <t>FHIR_Status</t>
  </si>
  <si>
    <t>Total encounters</t>
  </si>
  <si>
    <t>Sr</t>
  </si>
  <si>
    <t>Analyses</t>
  </si>
  <si>
    <t>Result</t>
  </si>
  <si>
    <t>Average LOS</t>
  </si>
  <si>
    <t>Number of emergency admissions</t>
  </si>
  <si>
    <t>Number of 30-day readmissions</t>
  </si>
  <si>
    <t>Number of incomplete documentation records</t>
  </si>
  <si>
    <t>Number of duplicate-test flags</t>
  </si>
  <si>
    <t>Sr No.</t>
  </si>
  <si>
    <t>Question</t>
  </si>
  <si>
    <t>MALE</t>
  </si>
  <si>
    <t>General   Medicine</t>
  </si>
  <si>
    <t>EMERG</t>
  </si>
  <si>
    <t>Gen  Medicine</t>
  </si>
  <si>
    <t xml:space="preserve">        Cardiology</t>
  </si>
  <si>
    <t>DQ_Flag</t>
  </si>
  <si>
    <t>Duplicate_Encounter_Flag</t>
  </si>
  <si>
    <t>Department 1</t>
  </si>
  <si>
    <t>NeUrology</t>
  </si>
  <si>
    <t>General        Surgery</t>
  </si>
  <si>
    <t>PsYchiatry</t>
  </si>
  <si>
    <t>Sex_Clean</t>
  </si>
  <si>
    <t>Admission_Type_Clean</t>
  </si>
  <si>
    <t>Date_Check</t>
  </si>
  <si>
    <t>Calculated_LOS</t>
  </si>
  <si>
    <t>LOS_Check</t>
  </si>
  <si>
    <t>Hospital_ID_Check</t>
  </si>
  <si>
    <t>Data_Quality</t>
  </si>
  <si>
    <t>Missing Age</t>
  </si>
  <si>
    <t>Missing Department</t>
  </si>
  <si>
    <t>Missing Discharge Date</t>
  </si>
  <si>
    <t>Duplicate encounters</t>
  </si>
  <si>
    <t>Rows requiring review</t>
  </si>
  <si>
    <t>KPI</t>
  </si>
  <si>
    <t>Invalid LOS</t>
  </si>
  <si>
    <t>Duplicate Records</t>
  </si>
  <si>
    <t>Portfolio-defined Data Quality Pass Rate</t>
  </si>
  <si>
    <t>DQ_Issue_Type</t>
  </si>
  <si>
    <t>Issue_ID</t>
  </si>
  <si>
    <t>Issue_Type</t>
  </si>
  <si>
    <t>Original_Value</t>
  </si>
  <si>
    <t>Action_Taken</t>
  </si>
  <si>
    <t>DQ001</t>
  </si>
  <si>
    <t>DQ002</t>
  </si>
  <si>
    <t>DQ003</t>
  </si>
  <si>
    <t>DQ004</t>
  </si>
  <si>
    <t>DQ005</t>
  </si>
  <si>
    <t>DQ006</t>
  </si>
  <si>
    <t>DQ007</t>
  </si>
  <si>
    <t>DQ008</t>
  </si>
  <si>
    <t>DQ009</t>
  </si>
  <si>
    <t>DQ010</t>
  </si>
  <si>
    <t>DQ011</t>
  </si>
  <si>
    <t>Missing Documentation</t>
  </si>
  <si>
    <t>Duplicate Encounter</t>
  </si>
  <si>
    <t>Invalid Age</t>
  </si>
  <si>
    <t>Row Labels</t>
  </si>
  <si>
    <t>Grand Total</t>
  </si>
  <si>
    <t>Count of Encounter_ID</t>
  </si>
  <si>
    <t>Average of LOS_Days</t>
  </si>
  <si>
    <t>18-29</t>
  </si>
  <si>
    <t>60-74</t>
  </si>
  <si>
    <t>45-59</t>
  </si>
  <si>
    <t>75+</t>
  </si>
  <si>
    <t>(blank)</t>
  </si>
  <si>
    <t>Average of LOS</t>
  </si>
  <si>
    <t>30-44</t>
  </si>
  <si>
    <t>Column Labels</t>
  </si>
  <si>
    <t>30-Day Readmission Rate</t>
  </si>
  <si>
    <t>Which hospital has the highest average LOS?</t>
  </si>
  <si>
    <t>Which department has the highest LOS?</t>
  </si>
  <si>
    <t>Which hospital has the highest readmission rate?</t>
  </si>
  <si>
    <t>Which hospital has the poorest documentation completeness?</t>
  </si>
  <si>
    <t>Which hospitals show the highest duplicate-testing rate?</t>
  </si>
  <si>
    <t>Is duplicate testing higher among hospitals with limited FHIR readiness?</t>
  </si>
  <si>
    <t>Which age group has the longest LOS?</t>
  </si>
  <si>
    <t>Do emergency patients stay longer than planned admissions?</t>
  </si>
  <si>
    <t>Which departments require the most referrals?</t>
  </si>
  <si>
    <t>SNOMED_CT_Used</t>
  </si>
  <si>
    <t>LOINC_Used</t>
  </si>
  <si>
    <t>EHR_Score</t>
  </si>
  <si>
    <t>FHIR_Score</t>
  </si>
  <si>
    <t>SNOMED_Score</t>
  </si>
  <si>
    <t>LOINC_Score</t>
  </si>
  <si>
    <t>Portal_Score</t>
  </si>
  <si>
    <t>Training_Score</t>
  </si>
  <si>
    <t>Overall_Readiness_Score</t>
  </si>
  <si>
    <t>Readiness_Level</t>
  </si>
  <si>
    <t>Priority_Flag</t>
  </si>
  <si>
    <t>INSIGHT</t>
  </si>
  <si>
    <t xml:space="preserve">1)Observation:Hospital H006 has a high a high digital-readiness score </t>
  </si>
  <si>
    <t>2)Interpretation: Digital capability appears strong, but technology adoption may not yet be translating fully into operational value.</t>
  </si>
  <si>
    <t>3)Possible explanation: Workflow integration, staff utilization, interoperability execution, or data-governance practices may require further review.</t>
  </si>
  <si>
    <t>4)Management action: Prioritize process and workflow assessment before recommending additional technology investment.</t>
  </si>
  <si>
    <t>Total_Encounters</t>
  </si>
  <si>
    <t>Duplicate_Test_Count</t>
  </si>
  <si>
    <t>Duplicate_Test_Rate</t>
  </si>
  <si>
    <t>Estimated_Cost_Per_Duplicate_Test</t>
  </si>
  <si>
    <t>Current_Duplicate_Test_Cost</t>
  </si>
  <si>
    <t>Expected_Reduction_Pct</t>
  </si>
  <si>
    <t>Estimated_Period_Savings</t>
  </si>
  <si>
    <t>Estimated_Annual_Savings</t>
  </si>
  <si>
    <t>Interoperability_Investment</t>
  </si>
  <si>
    <t>Expected duplicate-test reduction</t>
  </si>
  <si>
    <t>Net_First_Year_Benefit</t>
  </si>
  <si>
    <t>ROI_Pct</t>
  </si>
  <si>
    <t>Payback_Period_Years</t>
  </si>
  <si>
    <t>Investment_Priority</t>
  </si>
  <si>
    <t>Non-Financial Benefits</t>
  </si>
  <si>
    <t>improved information availability</t>
  </si>
  <si>
    <t>reduced repetitive clinical work</t>
  </si>
  <si>
    <t>better care continuity</t>
  </si>
  <si>
    <t>improved patient experience</t>
  </si>
  <si>
    <t>better structured data</t>
  </si>
  <si>
    <t>stronger analytics capability</t>
  </si>
  <si>
    <t>easier information exchange</t>
  </si>
  <si>
    <t>improved data governance</t>
  </si>
  <si>
    <t>future EHDS readiness</t>
  </si>
  <si>
    <t>Total potential duplicate-test cost</t>
  </si>
  <si>
    <t>Estimated annual savings</t>
  </si>
  <si>
    <t>Total proposed investment</t>
  </si>
  <si>
    <t>Portfolio ROI</t>
  </si>
  <si>
    <t>Priority</t>
  </si>
  <si>
    <t>Hospital(s)</t>
  </si>
  <si>
    <t>Why it matters</t>
  </si>
  <si>
    <t>CEO recommendation</t>
  </si>
  <si>
    <t>1 — Immediate Pilot</t>
  </si>
  <si>
    <t>H007 — Helix Medical Centre</t>
  </si>
  <si>
    <t>Highest practical ROI position in the current model: 60% duplicate-test rate, €15,000 annualized savings, €20,000 investment and the shortest payback (~1.33 years).</t>
  </si>
  <si>
    <t>Use H007 as the first interoperability/workflow-improvement pilot. Validate duplicate-test causes, prior-result visibility, ordering workflow and staff adoption before scaling.</t>
  </si>
  <si>
    <t>2 — High Strategic Priority</t>
  </si>
  <si>
    <t>H001 — Nova Medical Centre; H005 — Europa Health Institute</t>
  </si>
  <si>
    <t>Both show high duplicate-test burden (60% and 50%) and €15,000 annualized savings each, but require €50,000 investment and remain negative in first-year ROI.</t>
  </si>
  <si>
    <t>Perform focused workflow and interoperability assessment first. Consider phased investment only if additional benefits beyond duplicate-test savings are demonstrated.</t>
  </si>
  <si>
    <t>3 — Targeted Review</t>
  </si>
  <si>
    <t>H009 — Clinica Santa Marisol</t>
  </si>
  <si>
    <t>Moderate duplicate-test rate (20%) with €5,000 annualized savings against €35,000 investment; financial return is weak on duplicate-test reduction alone.</t>
  </si>
  <si>
    <t>Keep on a targeted improvement/watchlist. Prioritize low-cost workflow, data-quality and result-visibility changes before capital investment.</t>
  </si>
  <si>
    <t>4 — Routine Monitoring</t>
  </si>
  <si>
    <t>H002, H003, H004, H006, H008, H010</t>
  </si>
  <si>
    <t>No duplicate-test savings opportunity is visible in the current synthetic sample, while estimated interoperability investment remains substantial.</t>
  </si>
  <si>
    <t>Do not justify investment from duplicate-test ROI alone. Continue monitoring digital readiness, data quality, user workflow, interoperability gaps and non-financial benefits.</t>
  </si>
  <si>
    <t>Final Executive Conclusion</t>
  </si>
  <si>
    <t>Non-financial value includes better continuity of care, improved information availability, stronger data quality, better governance, and more efficient clinical workflows.</t>
  </si>
  <si>
    <r>
      <t xml:space="preserve">A network-wide interoperability investment should </t>
    </r>
    <r>
      <rPr>
        <b/>
        <sz val="14"/>
        <color theme="0"/>
        <rFont val="Aptos Narrow"/>
        <family val="2"/>
        <scheme val="minor"/>
      </rPr>
      <t>not be justified by duplicate-test savings alone</t>
    </r>
    <r>
      <rPr>
        <sz val="14"/>
        <color theme="0"/>
        <rFont val="Aptos Narrow"/>
        <family val="2"/>
        <scheme val="minor"/>
      </rPr>
      <t>.</t>
    </r>
  </si>
  <si>
    <r>
      <t>H007 – Helix Medical Centre</t>
    </r>
    <r>
      <rPr>
        <sz val="14"/>
        <color theme="0"/>
        <rFont val="Aptos Narrow"/>
        <family val="2"/>
        <scheme val="minor"/>
      </rPr>
      <t xml:space="preserve"> is the strongest pilot candidate because it combines a high duplicate-test burden, lower investment requirement, and the shortest payback period.</t>
    </r>
  </si>
  <si>
    <r>
      <t>H001 – Nova Medical Centre</t>
    </r>
    <r>
      <rPr>
        <sz val="14"/>
        <color theme="0"/>
        <rFont val="Aptos Narrow"/>
        <family val="2"/>
        <scheme val="minor"/>
      </rPr>
      <t xml:space="preserve"> and </t>
    </r>
    <r>
      <rPr>
        <b/>
        <sz val="14"/>
        <color theme="0"/>
        <rFont val="Aptos Narrow"/>
        <family val="2"/>
        <scheme val="minor"/>
      </rPr>
      <t>H005 – Europa Health Institute</t>
    </r>
    <r>
      <rPr>
        <sz val="14"/>
        <color theme="0"/>
        <rFont val="Aptos Narrow"/>
        <family val="2"/>
        <scheme val="minor"/>
      </rPr>
      <t xml:space="preserve"> should receive high strategic attention, but major investment should follow further review of workflow, interoperability, staff adoption, and data quality.</t>
    </r>
  </si>
  <si>
    <r>
      <t>H009 – Clinica Santa Marisol</t>
    </r>
    <r>
      <rPr>
        <sz val="14"/>
        <color theme="0"/>
        <rFont val="Aptos Narrow"/>
        <family val="2"/>
        <scheme val="minor"/>
      </rPr>
      <t xml:space="preserve"> is better suited for targeted, lower-cost process improvements before major capital investment.</t>
    </r>
  </si>
  <si>
    <r>
      <t xml:space="preserve">Hospitals with </t>
    </r>
    <r>
      <rPr>
        <b/>
        <sz val="14"/>
        <color theme="0"/>
        <rFont val="Aptos Narrow"/>
        <family val="2"/>
        <scheme val="minor"/>
      </rPr>
      <t>no current duplicate-test savings signal</t>
    </r>
    <r>
      <rPr>
        <sz val="14"/>
        <color theme="0"/>
        <rFont val="Aptos Narrow"/>
        <family val="2"/>
        <scheme val="minor"/>
      </rPr>
      <t xml:space="preserve"> should remain under routine monitoring rather than receiving investment based only on ROI.</t>
    </r>
  </si>
  <si>
    <r>
      <t xml:space="preserve">Management should follow a </t>
    </r>
    <r>
      <rPr>
        <b/>
        <sz val="14"/>
        <color theme="0"/>
        <rFont val="Aptos Narrow"/>
        <family val="2"/>
        <scheme val="minor"/>
      </rPr>
      <t>phased digital transformation strategy</t>
    </r>
    <r>
      <rPr>
        <sz val="14"/>
        <color theme="0"/>
        <rFont val="Aptos Narrow"/>
        <family val="2"/>
        <scheme val="minor"/>
      </rPr>
      <t>: pilot first, measure outcomes, validate value, and then scale.</t>
    </r>
  </si>
  <si>
    <r>
      <t xml:space="preserve">Investment decisions should consider both </t>
    </r>
    <r>
      <rPr>
        <b/>
        <sz val="14"/>
        <color theme="0"/>
        <rFont val="Aptos Narrow"/>
        <family val="2"/>
        <scheme val="minor"/>
      </rPr>
      <t>financial and non-financial benefits</t>
    </r>
    <r>
      <rPr>
        <sz val="14"/>
        <color theme="0"/>
        <rFont val="Aptos Narrow"/>
        <family val="2"/>
        <scheme val="minor"/>
      </rPr>
      <t>.</t>
    </r>
  </si>
  <si>
    <r>
      <t xml:space="preserve">Future digital investment should also support </t>
    </r>
    <r>
      <rPr>
        <b/>
        <sz val="14"/>
        <color theme="0"/>
        <rFont val="Aptos Narrow"/>
        <family val="2"/>
        <scheme val="minor"/>
      </rPr>
      <t>interoperability and readiness for the European Health Data Space (EHDS)</t>
    </r>
    <r>
      <rPr>
        <sz val="14"/>
        <color theme="0"/>
        <rFont val="Aptos Narrow"/>
        <family val="2"/>
        <scheme val="minor"/>
      </rPr>
      <t>.</t>
    </r>
  </si>
  <si>
    <r>
      <t>Final recommendation:</t>
    </r>
    <r>
      <rPr>
        <sz val="14"/>
        <color theme="0"/>
        <rFont val="Aptos Narrow"/>
        <family val="2"/>
        <scheme val="minor"/>
      </rPr>
      <t xml:space="preserve"> prioritize evidence-based, targeted investment rather than technology expansion across all hospitals at the same time.</t>
    </r>
  </si>
  <si>
    <t>EUROPEAN HOSPITAL  DIGITAL READINESS &amp; ROI DASHBOARD</t>
  </si>
  <si>
    <t>Executive Decision Support | Synthetic European Hospital Network | Excel Portfolio Project</t>
  </si>
  <si>
    <t>AVERAGE DIGITAL  READINESS</t>
  </si>
  <si>
    <t>DUPLICATE TEST RATE</t>
  </si>
  <si>
    <t xml:space="preserve">ESTIMATED ANNUAL  SAVINGS </t>
  </si>
  <si>
    <t>TOTAL PROPOSED INVESTMENT</t>
  </si>
  <si>
    <t>PRIORITY HOSPITALS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</si>
</sst>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2]\ #,##0.00"/>
    <numFmt numFmtId="165" formatCode="[$€-2]\ #,##0"/>
    <numFmt numFmtId="166" formatCode="[$€-2]\ #,##0;[Red][$€-2]\ #,##0"/>
  </numFmts>
  <fonts count="21">
    <font>
      <sz val="11"/>
      <color theme="1"/>
      <name val="Aptos Narrow"/>
      <family val="2"/>
      <scheme val="minor"/>
    </font>
    <font>
      <sz val="11"/>
      <color theme="1"/>
      <name val="Aptos Narrow"/>
      <family val="2"/>
      <scheme val="minor"/>
    </font>
    <font>
      <b/>
      <sz val="11"/>
      <color theme="3"/>
      <name val="Aptos Narrow"/>
      <family val="2"/>
      <scheme val="minor"/>
    </font>
    <font>
      <sz val="11"/>
      <color theme="0"/>
      <name val="Aptos Narrow"/>
      <family val="2"/>
      <scheme val="minor"/>
    </font>
    <font>
      <b/>
      <sz val="11"/>
      <color rgb="FF660033"/>
      <name val="Aptos Narrow"/>
      <family val="2"/>
      <scheme val="minor"/>
    </font>
    <font>
      <sz val="8"/>
      <name val="Aptos Narrow"/>
      <family val="2"/>
      <scheme val="minor"/>
    </font>
    <font>
      <sz val="10"/>
      <color theme="1"/>
      <name val="Arial Unicode MS"/>
    </font>
    <font>
      <sz val="10"/>
      <color rgb="FF660033"/>
      <name val="Arial Unicode MS"/>
    </font>
    <font>
      <b/>
      <sz val="10"/>
      <color rgb="FF660033"/>
      <name val="Arial Unicode MS"/>
    </font>
    <font>
      <sz val="11"/>
      <color theme="3"/>
      <name val="Aptos Narrow"/>
      <family val="2"/>
      <scheme val="minor"/>
    </font>
    <font>
      <sz val="11"/>
      <color rgb="FF660033"/>
      <name val="Aptos Narrow"/>
      <family val="2"/>
      <scheme val="minor"/>
    </font>
    <font>
      <sz val="11"/>
      <color theme="4" tint="0.79998168889431442"/>
      <name val="Aptos Narrow"/>
      <family val="2"/>
      <scheme val="minor"/>
    </font>
    <font>
      <b/>
      <sz val="16"/>
      <color rgb="FF660033"/>
      <name val="Aptos Narrow"/>
      <family val="2"/>
      <scheme val="minor"/>
    </font>
    <font>
      <sz val="13.5"/>
      <color theme="1"/>
      <name val="Aptos Narrow"/>
      <family val="2"/>
      <scheme val="minor"/>
    </font>
    <font>
      <b/>
      <sz val="11"/>
      <color theme="0"/>
      <name val="Aptos Narrow"/>
      <family val="2"/>
      <scheme val="minor"/>
    </font>
    <font>
      <b/>
      <sz val="28"/>
      <color rgb="FF660033"/>
      <name val="Aptos Narrow"/>
      <family val="2"/>
      <scheme val="minor"/>
    </font>
    <font>
      <sz val="14"/>
      <color theme="0"/>
      <name val="Aptos Narrow"/>
      <family val="2"/>
      <scheme val="minor"/>
    </font>
    <font>
      <b/>
      <sz val="14"/>
      <color theme="0"/>
      <name val="Aptos Narrow"/>
      <family val="2"/>
      <scheme val="minor"/>
    </font>
    <font>
      <b/>
      <sz val="14"/>
      <color rgb="FF660033"/>
      <name val="Aptos Narrow"/>
      <family val="2"/>
      <scheme val="minor"/>
    </font>
    <font>
      <b/>
      <sz val="12"/>
      <color rgb="FF660033"/>
      <name val="Aptos Narrow"/>
      <family val="2"/>
      <scheme val="minor"/>
    </font>
    <font>
      <b/>
      <sz val="11"/>
      <color rgb="FFC00000"/>
      <name val="Aptos Narrow"/>
      <family val="2"/>
      <scheme val="minor"/>
    </font>
  </fonts>
  <fills count="8">
    <fill>
      <patternFill patternType="none"/>
    </fill>
    <fill>
      <patternFill patternType="gray125"/>
    </fill>
    <fill>
      <patternFill patternType="solid">
        <fgColor theme="4"/>
      </patternFill>
    </fill>
    <fill>
      <patternFill patternType="solid">
        <fgColor rgb="FFFFCCCC"/>
        <bgColor indexed="64"/>
      </patternFill>
    </fill>
    <fill>
      <patternFill patternType="solid">
        <fgColor theme="4" tint="-0.249977111117893"/>
        <bgColor theme="4" tint="-0.249977111117893"/>
      </patternFill>
    </fill>
    <fill>
      <patternFill patternType="solid">
        <fgColor theme="4"/>
        <bgColor theme="4"/>
      </patternFill>
    </fill>
    <fill>
      <patternFill patternType="solid">
        <fgColor theme="7" tint="-0.499984740745262"/>
        <bgColor indexed="64"/>
      </patternFill>
    </fill>
    <fill>
      <patternFill patternType="solid">
        <fgColor rgb="FFFFCCCC"/>
        <bgColor rgb="FF000000"/>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medium">
        <color theme="0"/>
      </bottom>
      <diagonal/>
    </border>
  </borders>
  <cellStyleXfs count="3">
    <xf numFmtId="0" fontId="0" fillId="0" borderId="0"/>
    <xf numFmtId="9" fontId="1" fillId="0" borderId="0" applyFont="0" applyFill="0" applyBorder="0" applyAlignment="0" applyProtection="0"/>
    <xf numFmtId="0" fontId="3" fillId="2" borderId="0" applyNumberFormat="0" applyBorder="0" applyAlignment="0" applyProtection="0"/>
  </cellStyleXfs>
  <cellXfs count="78">
    <xf numFmtId="0" fontId="0" fillId="0" borderId="0" xfId="0"/>
    <xf numFmtId="0" fontId="4" fillId="3" borderId="0" xfId="0" applyFont="1" applyFill="1"/>
    <xf numFmtId="0" fontId="4" fillId="3" borderId="0" xfId="0" applyFont="1" applyFill="1" applyAlignment="1">
      <alignment horizontal="center"/>
    </xf>
    <xf numFmtId="9" fontId="0" fillId="0" borderId="0" xfId="0" applyNumberFormat="1"/>
    <xf numFmtId="0" fontId="3" fillId="4" borderId="0" xfId="0" applyFont="1" applyFill="1"/>
    <xf numFmtId="0" fontId="3" fillId="5" borderId="0" xfId="0" applyFont="1" applyFill="1"/>
    <xf numFmtId="0" fontId="7" fillId="3" borderId="0" xfId="0" applyFont="1" applyFill="1"/>
    <xf numFmtId="0" fontId="9" fillId="0" borderId="0" xfId="0" applyFont="1"/>
    <xf numFmtId="0" fontId="2" fillId="0" borderId="0" xfId="0" applyFont="1"/>
    <xf numFmtId="0" fontId="6" fillId="0" borderId="0" xfId="0" applyFont="1" applyAlignment="1">
      <alignment vertical="center"/>
    </xf>
    <xf numFmtId="15" fontId="0" fillId="0" borderId="0" xfId="0" applyNumberFormat="1"/>
    <xf numFmtId="15" fontId="6" fillId="0" borderId="0" xfId="0" applyNumberFormat="1" applyFont="1" applyAlignment="1">
      <alignment vertical="center"/>
    </xf>
    <xf numFmtId="0" fontId="7" fillId="3" borderId="0" xfId="0" applyFont="1" applyFill="1" applyAlignment="1">
      <alignment vertical="center"/>
    </xf>
    <xf numFmtId="0" fontId="10" fillId="3" borderId="0" xfId="0" applyFont="1" applyFill="1"/>
    <xf numFmtId="0" fontId="0" fillId="0" borderId="1" xfId="0" applyBorder="1"/>
    <xf numFmtId="0" fontId="4" fillId="3" borderId="1" xfId="0" applyFont="1" applyFill="1" applyBorder="1" applyAlignment="1">
      <alignment horizontal="center"/>
    </xf>
    <xf numFmtId="0" fontId="2" fillId="0" borderId="1" xfId="0" applyFont="1" applyBorder="1"/>
    <xf numFmtId="0" fontId="9" fillId="0" borderId="1" xfId="0" applyFont="1" applyBorder="1"/>
    <xf numFmtId="9" fontId="9" fillId="0" borderId="1" xfId="1" applyFont="1" applyBorder="1"/>
    <xf numFmtId="0" fontId="2" fillId="0" borderId="1" xfId="0" applyFont="1" applyBorder="1" applyAlignment="1">
      <alignment vertical="center"/>
    </xf>
    <xf numFmtId="0" fontId="2" fillId="0" borderId="1" xfId="0" applyFont="1" applyBorder="1" applyAlignment="1">
      <alignment vertical="center" wrapText="1"/>
    </xf>
    <xf numFmtId="0" fontId="0" fillId="0" borderId="1" xfId="0" applyBorder="1" applyAlignment="1">
      <alignment vertical="center"/>
    </xf>
    <xf numFmtId="0" fontId="0" fillId="0" borderId="2" xfId="0" applyBorder="1"/>
    <xf numFmtId="0" fontId="0" fillId="0" borderId="3" xfId="0" applyBorder="1"/>
    <xf numFmtId="0" fontId="4" fillId="3" borderId="4" xfId="0" applyFont="1" applyFill="1" applyBorder="1"/>
    <xf numFmtId="0" fontId="4" fillId="3" borderId="5" xfId="0" applyFont="1" applyFill="1" applyBorder="1"/>
    <xf numFmtId="0" fontId="4" fillId="3" borderId="6" xfId="0" applyFont="1" applyFill="1" applyBorder="1"/>
    <xf numFmtId="0" fontId="0" fillId="0" borderId="7" xfId="0" applyBorder="1"/>
    <xf numFmtId="0" fontId="0" fillId="0" borderId="8" xfId="0" applyBorder="1"/>
    <xf numFmtId="0" fontId="0" fillId="0" borderId="9" xfId="0" applyBorder="1"/>
    <xf numFmtId="0" fontId="4" fillId="3" borderId="4" xfId="0" applyFont="1" applyFill="1" applyBorder="1" applyAlignment="1">
      <alignment horizontal="center"/>
    </xf>
    <xf numFmtId="0" fontId="4" fillId="3" borderId="6" xfId="0" applyFont="1" applyFill="1" applyBorder="1" applyAlignment="1">
      <alignment horizontal="center"/>
    </xf>
    <xf numFmtId="9" fontId="0" fillId="0" borderId="9" xfId="1" applyFont="1" applyBorder="1"/>
    <xf numFmtId="0" fontId="3" fillId="4" borderId="1" xfId="0" applyFont="1" applyFill="1" applyBorder="1"/>
    <xf numFmtId="0" fontId="3" fillId="5" borderId="1" xfId="0" applyFont="1" applyFill="1" applyBorder="1"/>
    <xf numFmtId="0" fontId="8" fillId="3" borderId="4" xfId="0" applyFont="1" applyFill="1" applyBorder="1" applyAlignment="1">
      <alignment vertical="center"/>
    </xf>
    <xf numFmtId="0" fontId="8" fillId="3" borderId="5" xfId="0" applyFont="1" applyFill="1" applyBorder="1" applyAlignment="1">
      <alignment vertical="center"/>
    </xf>
    <xf numFmtId="0" fontId="3" fillId="4" borderId="8" xfId="0" applyFont="1" applyFill="1" applyBorder="1"/>
    <xf numFmtId="0" fontId="0" fillId="0" borderId="0" xfId="0" pivotButton="1"/>
    <xf numFmtId="0" fontId="0" fillId="0" borderId="0" xfId="0" applyAlignment="1">
      <alignment horizontal="left"/>
    </xf>
    <xf numFmtId="0" fontId="10" fillId="3" borderId="0" xfId="0" applyFont="1" applyFill="1" applyAlignment="1">
      <alignment horizontal="left"/>
    </xf>
    <xf numFmtId="0" fontId="11" fillId="5" borderId="0" xfId="0" applyFont="1" applyFill="1" applyAlignment="1">
      <alignment horizontal="left"/>
    </xf>
    <xf numFmtId="9" fontId="0" fillId="0" borderId="0" xfId="1" applyFont="1"/>
    <xf numFmtId="0" fontId="6" fillId="0" borderId="0" xfId="0" applyFont="1"/>
    <xf numFmtId="164" fontId="0" fillId="0" borderId="0" xfId="0" applyNumberFormat="1"/>
    <xf numFmtId="165" fontId="0" fillId="0" borderId="0" xfId="0" applyNumberFormat="1"/>
    <xf numFmtId="9" fontId="6" fillId="0" borderId="0" xfId="0" applyNumberFormat="1" applyFont="1" applyAlignment="1">
      <alignment vertical="center"/>
    </xf>
    <xf numFmtId="2" fontId="0" fillId="0" borderId="0" xfId="0" applyNumberFormat="1"/>
    <xf numFmtId="1" fontId="0" fillId="0" borderId="0" xfId="0" applyNumberFormat="1"/>
    <xf numFmtId="0" fontId="13" fillId="3" borderId="1" xfId="0" applyFont="1" applyFill="1" applyBorder="1" applyAlignment="1">
      <alignment vertical="center"/>
    </xf>
    <xf numFmtId="0" fontId="0" fillId="3" borderId="1" xfId="0" applyFill="1" applyBorder="1"/>
    <xf numFmtId="165" fontId="0" fillId="3" borderId="1" xfId="0" applyNumberFormat="1" applyFill="1" applyBorder="1"/>
    <xf numFmtId="166" fontId="0" fillId="3" borderId="1" xfId="0" applyNumberFormat="1" applyFill="1" applyBorder="1"/>
    <xf numFmtId="0" fontId="3" fillId="6" borderId="0" xfId="0" applyFont="1" applyFill="1"/>
    <xf numFmtId="0" fontId="8" fillId="3" borderId="0" xfId="0" applyFont="1" applyFill="1" applyAlignment="1">
      <alignment vertical="center"/>
    </xf>
    <xf numFmtId="0" fontId="8" fillId="3" borderId="10" xfId="0" applyFont="1" applyFill="1" applyBorder="1" applyAlignment="1">
      <alignment vertical="center"/>
    </xf>
    <xf numFmtId="166" fontId="3" fillId="0" borderId="0" xfId="0" applyNumberFormat="1" applyFont="1"/>
    <xf numFmtId="0" fontId="4" fillId="7" borderId="0" xfId="0" applyFont="1" applyFill="1" applyAlignment="1">
      <alignment horizontal="center" vertical="center" wrapText="1"/>
    </xf>
    <xf numFmtId="0" fontId="14" fillId="0" borderId="0" xfId="0" applyFont="1" applyAlignment="1">
      <alignment vertical="top" wrapText="1"/>
    </xf>
    <xf numFmtId="0" fontId="3" fillId="0" borderId="0" xfId="0" applyFont="1" applyAlignment="1">
      <alignment vertical="top" wrapText="1"/>
    </xf>
    <xf numFmtId="0" fontId="15" fillId="3" borderId="0" xfId="0" applyFont="1" applyFill="1" applyAlignment="1">
      <alignment horizontal="center" vertical="center"/>
    </xf>
    <xf numFmtId="0" fontId="4" fillId="3" borderId="0" xfId="0" applyFont="1" applyFill="1" applyAlignment="1">
      <alignment horizontal="center" vertical="center"/>
    </xf>
    <xf numFmtId="0" fontId="12" fillId="3" borderId="0" xfId="0" applyFont="1" applyFill="1" applyAlignment="1">
      <alignment horizontal="center" vertical="center"/>
    </xf>
    <xf numFmtId="0" fontId="10" fillId="3" borderId="0" xfId="0" applyFont="1" applyFill="1" applyAlignment="1">
      <alignment horizontal="center" vertical="center"/>
    </xf>
    <xf numFmtId="0" fontId="3" fillId="2" borderId="0" xfId="2" applyAlignment="1">
      <alignment horizontal="center" vertical="center" wrapText="1"/>
    </xf>
    <xf numFmtId="0" fontId="16" fillId="6" borderId="0" xfId="0" applyFont="1" applyFill="1" applyAlignment="1">
      <alignment horizontal="left"/>
    </xf>
    <xf numFmtId="0" fontId="17" fillId="6" borderId="0" xfId="0" applyFont="1" applyFill="1" applyAlignment="1">
      <alignment horizontal="left"/>
    </xf>
    <xf numFmtId="0" fontId="3" fillId="6" borderId="0" xfId="0" applyFont="1" applyFill="1" applyAlignment="1">
      <alignment horizontal="left"/>
    </xf>
    <xf numFmtId="0" fontId="18" fillId="3" borderId="1" xfId="0" applyFont="1" applyFill="1" applyBorder="1" applyAlignment="1">
      <alignment horizontal="center"/>
    </xf>
    <xf numFmtId="0" fontId="19" fillId="3" borderId="1" xfId="0" applyFont="1" applyFill="1" applyBorder="1" applyAlignment="1">
      <alignment horizontal="center"/>
    </xf>
    <xf numFmtId="0" fontId="4" fillId="3" borderId="1" xfId="0" applyFont="1" applyFill="1" applyBorder="1" applyAlignment="1">
      <alignment horizontal="center"/>
    </xf>
    <xf numFmtId="0" fontId="3" fillId="6" borderId="1" xfId="0" applyFont="1" applyFill="1" applyBorder="1" applyAlignment="1">
      <alignment horizontal="center"/>
    </xf>
    <xf numFmtId="9" fontId="3" fillId="6" borderId="1" xfId="1" applyFont="1" applyFill="1" applyBorder="1" applyAlignment="1">
      <alignment horizontal="center"/>
    </xf>
    <xf numFmtId="165" fontId="3" fillId="6" borderId="1" xfId="0" applyNumberFormat="1" applyFont="1" applyFill="1" applyBorder="1" applyAlignment="1">
      <alignment horizontal="center"/>
    </xf>
    <xf numFmtId="0" fontId="20" fillId="3" borderId="1" xfId="0" applyFont="1" applyFill="1" applyBorder="1"/>
    <xf numFmtId="0" fontId="3" fillId="6" borderId="1" xfId="0" applyFont="1" applyFill="1" applyBorder="1"/>
    <xf numFmtId="164" fontId="4" fillId="3" borderId="0" xfId="0" applyNumberFormat="1" applyFont="1" applyFill="1"/>
    <xf numFmtId="0" fontId="0" fillId="0" borderId="0" xfId="0" applyNumberFormat="1"/>
  </cellXfs>
  <cellStyles count="3">
    <cellStyle name="Accent1" xfId="2" builtinId="29"/>
    <cellStyle name="Normal" xfId="0" builtinId="0"/>
    <cellStyle name="Percent" xfId="1" builtinId="5"/>
  </cellStyles>
  <dxfs count="125">
    <dxf>
      <numFmt numFmtId="0" formatCode="General"/>
    </dxf>
    <dxf>
      <numFmt numFmtId="0" formatCode="General"/>
    </dxf>
    <dxf>
      <border diagonalUp="0" diagonalDown="0">
        <left style="thin">
          <color indexed="64"/>
        </left>
        <right style="thin">
          <color indexed="64"/>
        </right>
        <top style="thin">
          <color indexed="64"/>
        </top>
        <bottom style="thin">
          <color indexed="64"/>
        </bottom>
        <vertical/>
        <horizontal/>
      </border>
    </dxf>
    <dxf>
      <numFmt numFmtId="164" formatCode="[$€-2]\ #,##0.00"/>
    </dxf>
    <dxf>
      <font>
        <b val="0"/>
        <i val="0"/>
        <strike val="0"/>
        <condense val="0"/>
        <extend val="0"/>
        <outline val="0"/>
        <shadow val="0"/>
        <u val="none"/>
        <vertAlign val="baseline"/>
        <sz val="11"/>
        <color theme="0"/>
        <name val="Aptos Narrow"/>
        <family val="2"/>
        <scheme val="minor"/>
      </font>
      <fill>
        <patternFill patternType="solid">
          <fgColor theme="4"/>
          <bgColor theme="4"/>
        </patternFill>
      </fill>
    </dxf>
    <dxf>
      <font>
        <color theme="0"/>
      </font>
    </dxf>
    <dxf>
      <font>
        <color theme="0"/>
      </font>
    </dxf>
    <dxf>
      <font>
        <color theme="0"/>
      </font>
    </dxf>
    <dxf>
      <fill>
        <patternFill>
          <bgColor theme="7" tint="-0.499984740745262"/>
        </patternFill>
      </fill>
    </dxf>
    <dxf>
      <fill>
        <patternFill>
          <bgColor theme="7" tint="-0.499984740745262"/>
        </patternFill>
      </fill>
    </dxf>
    <dxf>
      <fill>
        <patternFill>
          <bgColor theme="7" tint="-0.499984740745262"/>
        </patternFill>
      </fill>
    </dxf>
    <dxf>
      <font>
        <b/>
      </font>
    </dxf>
    <dxf>
      <font>
        <b/>
      </font>
    </dxf>
    <dxf>
      <font>
        <color rgb="FF660033"/>
      </font>
    </dxf>
    <dxf>
      <font>
        <color rgb="FF660033"/>
      </font>
    </dxf>
    <dxf>
      <fill>
        <patternFill>
          <bgColor rgb="FFFFCCCC"/>
        </patternFill>
      </fill>
    </dxf>
    <dxf>
      <fill>
        <patternFill>
          <bgColor rgb="FFFFCCCC"/>
        </patternFill>
      </fill>
    </dxf>
    <dxf>
      <fill>
        <patternFill patternType="solid">
          <bgColor rgb="FF660033"/>
        </patternFill>
      </fill>
    </dxf>
    <dxf>
      <fill>
        <patternFill patternType="solid">
          <bgColor rgb="FF660033"/>
        </patternFill>
      </fill>
    </dxf>
    <dxf>
      <font>
        <color rgb="FFFFCCCC"/>
      </font>
    </dxf>
    <dxf>
      <font>
        <color rgb="FFFFCCCC"/>
      </font>
    </dxf>
    <dxf>
      <font>
        <b/>
        <i val="0"/>
        <strike val="0"/>
        <condense val="0"/>
        <extend val="0"/>
        <outline val="0"/>
        <shadow val="0"/>
        <u val="none"/>
        <vertAlign val="baseline"/>
        <sz val="11"/>
        <color rgb="FF660033"/>
        <name val="Aptos Narrow"/>
        <family val="2"/>
        <scheme val="minor"/>
      </font>
      <fill>
        <patternFill patternType="solid">
          <fgColor indexed="64"/>
          <bgColor rgb="FFFFCCCC"/>
        </patternFill>
      </fill>
    </dxf>
    <dxf>
      <font>
        <b val="0"/>
        <i val="0"/>
        <strike val="0"/>
        <condense val="0"/>
        <extend val="0"/>
        <outline val="0"/>
        <shadow val="0"/>
        <u val="none"/>
        <vertAlign val="baseline"/>
        <sz val="11"/>
        <color theme="0"/>
        <name val="Aptos Narrow"/>
        <family val="2"/>
        <scheme val="minor"/>
      </font>
      <fill>
        <patternFill patternType="solid">
          <fgColor theme="4" tint="-0.249977111117893"/>
          <bgColor theme="4" tint="-0.249977111117893"/>
        </patternFill>
      </fill>
    </dxf>
    <dxf>
      <font>
        <b/>
        <strike val="0"/>
        <outline val="0"/>
        <shadow val="0"/>
        <u val="none"/>
        <vertAlign val="baseline"/>
        <sz val="11"/>
        <color rgb="FF660033"/>
        <name val="Aptos Narrow"/>
        <family val="2"/>
        <scheme val="minor"/>
      </font>
      <fill>
        <patternFill patternType="solid">
          <fgColor indexed="64"/>
          <bgColor rgb="FFFFCCCC"/>
        </patternFill>
      </fill>
    </dxf>
    <dxf>
      <font>
        <color rgb="FF660033"/>
      </font>
    </dxf>
    <dxf>
      <font>
        <color rgb="FF660033"/>
      </font>
    </dxf>
    <dxf>
      <fill>
        <patternFill patternType="solid">
          <bgColor rgb="FFFFCCCC"/>
        </patternFill>
      </fill>
    </dxf>
    <dxf>
      <fill>
        <patternFill patternType="solid">
          <bgColor rgb="FFFFCCCC"/>
        </patternFill>
      </fill>
    </dxf>
    <dxf>
      <font>
        <color rgb="FF660033"/>
      </font>
    </dxf>
    <dxf>
      <font>
        <color rgb="FF660033"/>
      </font>
    </dxf>
    <dxf>
      <fill>
        <patternFill patternType="solid">
          <bgColor rgb="FFFFCCCC"/>
        </patternFill>
      </fill>
    </dxf>
    <dxf>
      <fill>
        <patternFill patternType="solid">
          <bgColor rgb="FFFFCCCC"/>
        </patternFill>
      </fill>
    </dxf>
    <dxf>
      <fill>
        <patternFill patternType="solid">
          <bgColor rgb="FFFFCCCC"/>
        </patternFill>
      </fill>
    </dxf>
    <dxf>
      <fill>
        <patternFill patternType="solid">
          <bgColor rgb="FFFFCCCC"/>
        </patternFill>
      </fill>
    </dxf>
    <dxf>
      <fill>
        <patternFill patternType="solid">
          <bgColor rgb="FFFFCCCC"/>
        </patternFill>
      </fill>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name val="Aptos Narrow"/>
        <family val="2"/>
        <scheme val="minor"/>
      </font>
      <fill>
        <patternFill patternType="solid">
          <fgColor theme="4" tint="-0.249977111117893"/>
          <bgColor theme="4" tint="-0.249977111117893"/>
        </patternFill>
      </fill>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rgb="FF660033"/>
        <name val="Arial Unicode MS"/>
        <scheme val="none"/>
      </font>
      <fill>
        <patternFill patternType="solid">
          <fgColor indexed="64"/>
          <bgColor rgb="FFFFCCCC"/>
        </pattern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left" vertical="bottom" textRotation="0" wrapText="0" indent="0" justifyLastLine="0" shrinkToFit="0" readingOrder="0"/>
    </dxf>
    <dxf>
      <font>
        <b/>
        <i val="0"/>
        <strike val="0"/>
        <condense val="0"/>
        <extend val="0"/>
        <outline val="0"/>
        <shadow val="0"/>
        <u val="none"/>
        <vertAlign val="baseline"/>
        <sz val="11"/>
        <color rgb="FF660033"/>
        <name val="Aptos Narrow"/>
        <family val="2"/>
        <scheme val="minor"/>
      </font>
      <fill>
        <patternFill patternType="solid">
          <fgColor indexed="64"/>
          <bgColor rgb="FFFFCCCC"/>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660033"/>
        <name val="Aptos Narrow"/>
        <family val="2"/>
        <scheme val="minor"/>
      </font>
      <fill>
        <patternFill patternType="solid">
          <fgColor indexed="64"/>
          <bgColor rgb="FFFFCCCC"/>
        </patternFill>
      </fill>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660033"/>
        <name val="Aptos Narrow"/>
        <family val="2"/>
        <scheme val="minor"/>
      </font>
      <fill>
        <patternFill patternType="solid">
          <fgColor indexed="64"/>
          <bgColor rgb="FFFFCCCC"/>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660033"/>
        <name val="Aptos Narrow"/>
        <family val="2"/>
        <scheme val="minor"/>
      </font>
      <fill>
        <patternFill patternType="solid">
          <fgColor indexed="64"/>
          <bgColor rgb="FFFFCCCC"/>
        </patternFill>
      </fill>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0" formatCode="dd/mmm/yy"/>
    </dxf>
    <dxf>
      <numFmt numFmtId="0" formatCode="General"/>
    </dxf>
    <dxf>
      <numFmt numFmtId="20" formatCode="dd/mmm/yy"/>
    </dxf>
    <dxf>
      <numFmt numFmtId="20" formatCode="dd/mmm/yy"/>
    </dxf>
    <dxf>
      <numFmt numFmtId="0" formatCode="General"/>
    </dxf>
    <dxf>
      <numFmt numFmtId="0" formatCode="General"/>
    </dxf>
    <dxf>
      <numFmt numFmtId="0" formatCode="General"/>
    </dxf>
    <dxf>
      <numFmt numFmtId="0" formatCode="General"/>
    </dxf>
    <dxf>
      <numFmt numFmtId="20" formatCode="dd/mmm/yy"/>
    </dxf>
    <dxf>
      <numFmt numFmtId="0" formatCode="General"/>
    </dxf>
    <dxf>
      <numFmt numFmtId="20" formatCode="dd/mmm/yy"/>
    </dxf>
    <dxf>
      <numFmt numFmtId="20" formatCode="dd/mmm/yy"/>
    </dxf>
    <dxf>
      <numFmt numFmtId="0" formatCode="General"/>
    </dxf>
    <dxf>
      <numFmt numFmtId="0" formatCode="General"/>
    </dxf>
    <dxf>
      <numFmt numFmtId="0" formatCode="General"/>
    </dxf>
    <dxf>
      <numFmt numFmtId="0" formatCode="General"/>
    </dxf>
    <dxf>
      <numFmt numFmtId="20" formatCode="dd/mmm/yy"/>
    </dxf>
    <dxf>
      <numFmt numFmtId="0" formatCode="General"/>
    </dxf>
    <dxf>
      <numFmt numFmtId="20" formatCode="dd/mmm/yy"/>
    </dxf>
    <dxf>
      <numFmt numFmtId="20" formatCode="dd/mmm/yy"/>
    </dxf>
    <dxf>
      <numFmt numFmtId="0" formatCode="General"/>
    </dxf>
    <dxf>
      <numFmt numFmtId="0" formatCode="General"/>
    </dxf>
    <dxf>
      <numFmt numFmtId="13" formatCode="0%"/>
    </dxf>
    <dxf>
      <numFmt numFmtId="13" formatCode="0%"/>
    </dxf>
    <dxf>
      <numFmt numFmtId="13" formatCode="0%"/>
    </dxf>
    <dxf>
      <font>
        <b/>
        <i val="0"/>
        <strike val="0"/>
        <condense val="0"/>
        <extend val="0"/>
        <outline val="0"/>
        <shadow val="0"/>
        <u val="none"/>
        <vertAlign val="baseline"/>
        <sz val="11"/>
        <color rgb="FF660033"/>
        <name val="Aptos Narrow"/>
        <family val="2"/>
        <scheme val="minor"/>
      </font>
      <fill>
        <patternFill patternType="solid">
          <fgColor indexed="64"/>
          <bgColor rgb="FFFFCCCC"/>
        </patternFill>
      </fill>
      <alignment horizontal="center" vertical="bottom" textRotation="0" wrapText="0" indent="0" justifyLastLine="0" shrinkToFit="0" readingOrder="0"/>
    </dxf>
    <dxf>
      <font>
        <b val="0"/>
        <i val="0"/>
        <strike val="0"/>
        <condense val="0"/>
        <extend val="0"/>
        <outline val="0"/>
        <shadow val="0"/>
        <u val="none"/>
        <vertAlign val="baseline"/>
        <sz val="11"/>
        <color theme="0"/>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0"/>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0"/>
        <name val="Aptos Narrow"/>
        <family val="2"/>
        <scheme val="minor"/>
      </font>
      <alignment horizontal="general" vertical="top" textRotation="0" wrapText="1" indent="0" justifyLastLine="0" shrinkToFit="0" readingOrder="0"/>
    </dxf>
    <dxf>
      <font>
        <b/>
        <i val="0"/>
        <strike val="0"/>
        <condense val="0"/>
        <extend val="0"/>
        <outline val="0"/>
        <shadow val="0"/>
        <u val="none"/>
        <vertAlign val="baseline"/>
        <sz val="11"/>
        <color theme="0"/>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0"/>
        <name val="Aptos Narrow"/>
        <family val="2"/>
        <scheme val="minor"/>
      </font>
      <alignment horizontal="general" vertical="top" textRotation="0" wrapText="1" indent="0" justifyLastLine="0" shrinkToFit="0" readingOrder="0"/>
    </dxf>
    <dxf>
      <font>
        <b/>
        <i val="0"/>
        <strike val="0"/>
        <condense val="0"/>
        <extend val="0"/>
        <outline val="0"/>
        <shadow val="0"/>
        <u val="none"/>
        <vertAlign val="baseline"/>
        <sz val="11"/>
        <color rgb="FF660033"/>
        <name val="Aptos Narrow"/>
        <family val="2"/>
        <scheme val="minor"/>
      </font>
      <fill>
        <patternFill patternType="solid">
          <fgColor rgb="FF000000"/>
          <bgColor rgb="FFFFCCCC"/>
        </patternFill>
      </fill>
      <alignment horizontal="center" vertical="center" textRotation="0" wrapText="1" indent="0" justifyLastLine="0" shrinkToFit="0" readingOrder="0"/>
    </dxf>
    <dxf>
      <font>
        <strike val="0"/>
        <outline val="0"/>
        <shadow val="0"/>
        <u val="none"/>
        <vertAlign val="baseline"/>
        <sz val="11"/>
        <color rgb="FF660033"/>
        <name val="Aptos Narrow"/>
        <family val="2"/>
        <scheme val="minor"/>
      </font>
      <fill>
        <patternFill patternType="solid">
          <fgColor indexed="64"/>
          <bgColor rgb="FFFFCCCC"/>
        </patternFill>
      </fill>
    </dxf>
    <dxf>
      <font>
        <strike val="0"/>
        <outline val="0"/>
        <shadow val="0"/>
        <u val="none"/>
        <vertAlign val="baseline"/>
        <sz val="11"/>
        <color rgb="FF660033"/>
        <name val="Aptos Narrow"/>
        <family val="2"/>
        <scheme val="minor"/>
      </font>
      <fill>
        <patternFill patternType="solid">
          <fgColor indexed="64"/>
          <bgColor rgb="FFFFCCCC"/>
        </patternFill>
      </fill>
    </dxf>
    <dxf>
      <numFmt numFmtId="2" formatCode="0.00"/>
    </dxf>
    <dxf>
      <numFmt numFmtId="1" formatCode="0"/>
    </dxf>
    <dxf>
      <numFmt numFmtId="164" formatCode="[$€-2]\ #,##0.00"/>
    </dxf>
    <dxf>
      <numFmt numFmtId="165" formatCode="[$€-2]\ #,##0"/>
    </dxf>
    <dxf>
      <font>
        <strike val="0"/>
        <outline val="0"/>
        <shadow val="0"/>
        <u val="none"/>
        <vertAlign val="baseline"/>
        <sz val="11"/>
        <color theme="0"/>
        <name val="Aptos Narrow"/>
        <family val="2"/>
        <scheme val="minor"/>
      </font>
      <numFmt numFmtId="166" formatCode="[$€-2]\ #,##0;[Red][$€-2]\ #,##0"/>
    </dxf>
    <dxf>
      <numFmt numFmtId="164" formatCode="[$€-2]\ #,##0.00"/>
    </dxf>
    <dxf>
      <numFmt numFmtId="13" formatCode="0%"/>
    </dxf>
    <dxf>
      <numFmt numFmtId="165" formatCode="[$€-2]\ #,##0"/>
    </dxf>
    <dxf>
      <numFmt numFmtId="165" formatCode="[$€-2]\ #,##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0"/>
        <name val="Aptos Narrow"/>
        <family val="2"/>
        <scheme val="minor"/>
      </font>
      <fill>
        <patternFill patternType="solid">
          <fgColor theme="4"/>
          <bgColor theme="4"/>
        </patternFill>
      </fill>
    </dxf>
    <dxf>
      <font>
        <b val="0"/>
        <i val="0"/>
        <strike val="0"/>
        <condense val="0"/>
        <extend val="0"/>
        <outline val="0"/>
        <shadow val="0"/>
        <u val="none"/>
        <vertAlign val="baseline"/>
        <sz val="11"/>
        <color theme="0"/>
        <name val="Aptos Narrow"/>
        <family val="2"/>
        <scheme val="minor"/>
      </font>
      <fill>
        <patternFill patternType="solid">
          <fgColor theme="4"/>
          <bgColor theme="4"/>
        </patternFill>
      </fill>
    </dxf>
    <dxf>
      <font>
        <b/>
        <i val="0"/>
        <strike val="0"/>
        <condense val="0"/>
        <extend val="0"/>
        <outline val="0"/>
        <shadow val="0"/>
        <u val="none"/>
        <vertAlign val="baseline"/>
        <sz val="10"/>
        <color rgb="FF660033"/>
        <name val="Arial Unicode MS"/>
        <scheme val="none"/>
      </font>
      <fill>
        <patternFill patternType="solid">
          <fgColor indexed="64"/>
          <bgColor rgb="FFFFCCCC"/>
        </patternFill>
      </fill>
      <alignment horizontal="general" vertical="center" textRotation="0" wrapText="0" indent="0" justifyLastLine="0" shrinkToFit="0" readingOrder="0"/>
    </dxf>
  </dxfs>
  <tableStyles count="0" defaultTableStyle="TableStyleMedium2" defaultPivotStyle="PivotStyleLight16"/>
  <colors>
    <mruColors>
      <color rgb="FFFFCCCC"/>
      <color rgb="FF660033"/>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6.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microsoft.com/office/2007/relationships/slicerCache" Target="slicerCaches/slicerCache7.xml"/><Relationship Id="rId30"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Hospital Digital Readiness Score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'07_DIGITAL_READINESS'!$C$15</c:f>
              <c:strCache>
                <c:ptCount val="1"/>
                <c:pt idx="0">
                  <c:v>Overall_Readiness_Score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'07_DIGITAL_READINESS'!$B$16:$B$25</c:f>
              <c:strCache>
                <c:ptCount val="10"/>
                <c:pt idx="0">
                  <c:v>Marbel General Hospital</c:v>
                </c:pt>
                <c:pt idx="1">
                  <c:v>Nova Medical Centre</c:v>
                </c:pt>
                <c:pt idx="2">
                  <c:v>Aurora Medical Centre</c:v>
                </c:pt>
                <c:pt idx="3">
                  <c:v>Europa Health Institute</c:v>
                </c:pt>
                <c:pt idx="4">
                  <c:v>St. Clara Medical Centre</c:v>
                </c:pt>
                <c:pt idx="5">
                  <c:v>St.Aldric University Hospital</c:v>
                </c:pt>
                <c:pt idx="6">
                  <c:v>Helis General Hospital</c:v>
                </c:pt>
                <c:pt idx="7">
                  <c:v>Helix Medical Centre</c:v>
                </c:pt>
                <c:pt idx="8">
                  <c:v>Clinica Santa Marisol</c:v>
                </c:pt>
                <c:pt idx="9">
                  <c:v>Nordhavan Regional Medical Centre</c:v>
                </c:pt>
              </c:strCache>
            </c:strRef>
          </c:cat>
          <c:val>
            <c:numRef>
              <c:f>'07_DIGITAL_READINESS'!$C$16:$C$25</c:f>
              <c:numCache>
                <c:formatCode>General</c:formatCode>
                <c:ptCount val="10"/>
                <c:pt idx="0">
                  <c:v>83.7</c:v>
                </c:pt>
                <c:pt idx="1">
                  <c:v>83.3</c:v>
                </c:pt>
                <c:pt idx="2">
                  <c:v>82.399999999999991</c:v>
                </c:pt>
                <c:pt idx="3">
                  <c:v>82.399999999999991</c:v>
                </c:pt>
                <c:pt idx="4">
                  <c:v>75.7</c:v>
                </c:pt>
                <c:pt idx="5">
                  <c:v>74.600000000000009</c:v>
                </c:pt>
                <c:pt idx="6">
                  <c:v>56.5</c:v>
                </c:pt>
                <c:pt idx="7">
                  <c:v>44.7</c:v>
                </c:pt>
                <c:pt idx="8">
                  <c:v>42.9</c:v>
                </c:pt>
                <c:pt idx="9">
                  <c:v>23.9</c:v>
                </c:pt>
              </c:numCache>
            </c:numRef>
          </c:val>
          <c:extLst>
            <c:ext xmlns:c16="http://schemas.microsoft.com/office/drawing/2014/chart" uri="{C3380CC4-5D6E-409C-BE32-E72D297353CC}">
              <c16:uniqueId val="{00000000-79BC-48F1-A1D7-26B7D43F4E0E}"/>
            </c:ext>
          </c:extLst>
        </c:ser>
        <c:dLbls>
          <c:dLblPos val="ctr"/>
          <c:showLegendKey val="0"/>
          <c:showVal val="1"/>
          <c:showCatName val="0"/>
          <c:showSerName val="0"/>
          <c:showPercent val="0"/>
          <c:showBubbleSize val="0"/>
        </c:dLbls>
        <c:gapWidth val="79"/>
        <c:overlap val="100"/>
        <c:axId val="1638869439"/>
        <c:axId val="1326880175"/>
      </c:barChart>
      <c:catAx>
        <c:axId val="1638869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26880175"/>
        <c:crosses val="autoZero"/>
        <c:auto val="1"/>
        <c:lblAlgn val="ctr"/>
        <c:lblOffset val="100"/>
        <c:noMultiLvlLbl val="0"/>
      </c:catAx>
      <c:valAx>
        <c:axId val="1326880175"/>
        <c:scaling>
          <c:orientation val="minMax"/>
        </c:scaling>
        <c:delete val="1"/>
        <c:axPos val="b"/>
        <c:numFmt formatCode="General" sourceLinked="1"/>
        <c:majorTickMark val="none"/>
        <c:minorTickMark val="none"/>
        <c:tickLblPos val="nextTo"/>
        <c:crossAx val="163886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Estimated Annual Savings Opportunity by Hospital</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28667344706911635"/>
          <c:y val="3.703703703703703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lotArea>
      <c:layout/>
      <c:barChart>
        <c:barDir val="bar"/>
        <c:grouping val="stacked"/>
        <c:varyColors val="0"/>
        <c:ser>
          <c:idx val="0"/>
          <c:order val="0"/>
          <c:tx>
            <c:strRef>
              <c:f>'08_ROI_ANALYSIS'!$E$15</c:f>
              <c:strCache>
                <c:ptCount val="1"/>
                <c:pt idx="0">
                  <c:v>Estimated_Annual_Savings</c:v>
                </c:pt>
              </c:strCache>
            </c:strRef>
          </c:tx>
          <c:spPr>
            <a:solidFill>
              <a:schemeClr val="accent1"/>
            </a:solidFill>
            <a:ln>
              <a:noFill/>
            </a:ln>
            <a:effectLst/>
          </c:spPr>
          <c:invertIfNegative val="0"/>
          <c:cat>
            <c:strRef>
              <c:f>'08_ROI_ANALYSIS'!$D$16:$D$25</c:f>
              <c:strCache>
                <c:ptCount val="10"/>
                <c:pt idx="0">
                  <c:v>Nova Medical Centre</c:v>
                </c:pt>
                <c:pt idx="1">
                  <c:v>Aurora Medical Centre</c:v>
                </c:pt>
                <c:pt idx="2">
                  <c:v>Helis General Hospital</c:v>
                </c:pt>
                <c:pt idx="3">
                  <c:v>St. Clara Medical Centre</c:v>
                </c:pt>
                <c:pt idx="4">
                  <c:v>Europa Health Institute</c:v>
                </c:pt>
                <c:pt idx="5">
                  <c:v>Marbel General Hospital</c:v>
                </c:pt>
                <c:pt idx="6">
                  <c:v>Helix Medical Centre</c:v>
                </c:pt>
                <c:pt idx="7">
                  <c:v>St.Aldric University Hospital</c:v>
                </c:pt>
                <c:pt idx="8">
                  <c:v>Clinica Santa Marisol</c:v>
                </c:pt>
                <c:pt idx="9">
                  <c:v>Nordhavan Regional Medical Centre</c:v>
                </c:pt>
              </c:strCache>
            </c:strRef>
          </c:cat>
          <c:val>
            <c:numRef>
              <c:f>'08_ROI_ANALYSIS'!$E$16:$E$25</c:f>
              <c:numCache>
                <c:formatCode>General</c:formatCode>
                <c:ptCount val="10"/>
                <c:pt idx="0">
                  <c:v>15000</c:v>
                </c:pt>
                <c:pt idx="1">
                  <c:v>0</c:v>
                </c:pt>
                <c:pt idx="2">
                  <c:v>0</c:v>
                </c:pt>
                <c:pt idx="3">
                  <c:v>0</c:v>
                </c:pt>
                <c:pt idx="4">
                  <c:v>15000</c:v>
                </c:pt>
                <c:pt idx="5">
                  <c:v>0</c:v>
                </c:pt>
                <c:pt idx="6">
                  <c:v>15000</c:v>
                </c:pt>
                <c:pt idx="7">
                  <c:v>0</c:v>
                </c:pt>
                <c:pt idx="8">
                  <c:v>5000</c:v>
                </c:pt>
                <c:pt idx="9">
                  <c:v>0</c:v>
                </c:pt>
              </c:numCache>
            </c:numRef>
          </c:val>
          <c:extLst>
            <c:ext xmlns:c16="http://schemas.microsoft.com/office/drawing/2014/chart" uri="{C3380CC4-5D6E-409C-BE32-E72D297353CC}">
              <c16:uniqueId val="{00000000-DD36-4683-A174-AB5BC72C83EC}"/>
            </c:ext>
          </c:extLst>
        </c:ser>
        <c:dLbls>
          <c:showLegendKey val="0"/>
          <c:showVal val="0"/>
          <c:showCatName val="0"/>
          <c:showSerName val="0"/>
          <c:showPercent val="0"/>
          <c:showBubbleSize val="0"/>
        </c:dLbls>
        <c:gapWidth val="150"/>
        <c:overlap val="100"/>
        <c:axId val="1323835071"/>
        <c:axId val="938754639"/>
      </c:barChart>
      <c:catAx>
        <c:axId val="1323835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754639"/>
        <c:crosses val="autoZero"/>
        <c:auto val="1"/>
        <c:lblAlgn val="ctr"/>
        <c:lblOffset val="100"/>
        <c:noMultiLvlLbl val="0"/>
      </c:catAx>
      <c:valAx>
        <c:axId val="938754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835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Illustrative First-Year ROI by Hospital</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lotArea>
      <c:layout/>
      <c:barChart>
        <c:barDir val="col"/>
        <c:grouping val="stacked"/>
        <c:varyColors val="0"/>
        <c:ser>
          <c:idx val="0"/>
          <c:order val="0"/>
          <c:tx>
            <c:strRef>
              <c:f>'08_ROI_ANALYSIS'!$E$29</c:f>
              <c:strCache>
                <c:ptCount val="1"/>
                <c:pt idx="0">
                  <c:v>ROI_Pct</c:v>
                </c:pt>
              </c:strCache>
            </c:strRef>
          </c:tx>
          <c:spPr>
            <a:solidFill>
              <a:schemeClr val="accent1"/>
            </a:solidFill>
            <a:ln>
              <a:noFill/>
            </a:ln>
            <a:effectLst/>
          </c:spPr>
          <c:invertIfNegative val="0"/>
          <c:cat>
            <c:strRef>
              <c:f>'08_ROI_ANALYSIS'!$D$30:$D$39</c:f>
              <c:strCache>
                <c:ptCount val="10"/>
                <c:pt idx="0">
                  <c:v>Nova Medical Centre</c:v>
                </c:pt>
                <c:pt idx="1">
                  <c:v>Aurora Medical Centre</c:v>
                </c:pt>
                <c:pt idx="2">
                  <c:v>Helis General Hospital</c:v>
                </c:pt>
                <c:pt idx="3">
                  <c:v>St. Clara Medical Centre</c:v>
                </c:pt>
                <c:pt idx="4">
                  <c:v>Europa Health Institute</c:v>
                </c:pt>
                <c:pt idx="5">
                  <c:v>Marbel General Hospital</c:v>
                </c:pt>
                <c:pt idx="6">
                  <c:v>Helix Medical Centre</c:v>
                </c:pt>
                <c:pt idx="7">
                  <c:v>St.Aldric University Hospital</c:v>
                </c:pt>
                <c:pt idx="8">
                  <c:v>Clinica Santa Marisol</c:v>
                </c:pt>
                <c:pt idx="9">
                  <c:v>Nordhavan Regional Medical Centre</c:v>
                </c:pt>
              </c:strCache>
            </c:strRef>
          </c:cat>
          <c:val>
            <c:numRef>
              <c:f>'08_ROI_ANALYSIS'!$E$30:$E$39</c:f>
              <c:numCache>
                <c:formatCode>General</c:formatCode>
                <c:ptCount val="10"/>
                <c:pt idx="0">
                  <c:v>-70</c:v>
                </c:pt>
                <c:pt idx="1">
                  <c:v>-100</c:v>
                </c:pt>
                <c:pt idx="2">
                  <c:v>-100</c:v>
                </c:pt>
                <c:pt idx="3">
                  <c:v>-100</c:v>
                </c:pt>
                <c:pt idx="4">
                  <c:v>-70</c:v>
                </c:pt>
                <c:pt idx="5">
                  <c:v>-100</c:v>
                </c:pt>
                <c:pt idx="6">
                  <c:v>-25</c:v>
                </c:pt>
                <c:pt idx="7">
                  <c:v>-100</c:v>
                </c:pt>
                <c:pt idx="8">
                  <c:v>-85.714285714285708</c:v>
                </c:pt>
                <c:pt idx="9">
                  <c:v>-100</c:v>
                </c:pt>
              </c:numCache>
            </c:numRef>
          </c:val>
          <c:extLst>
            <c:ext xmlns:c16="http://schemas.microsoft.com/office/drawing/2014/chart" uri="{C3380CC4-5D6E-409C-BE32-E72D297353CC}">
              <c16:uniqueId val="{00000000-26E9-4BD2-8E2C-0A28FBF007B7}"/>
            </c:ext>
          </c:extLst>
        </c:ser>
        <c:dLbls>
          <c:showLegendKey val="0"/>
          <c:showVal val="0"/>
          <c:showCatName val="0"/>
          <c:showSerName val="0"/>
          <c:showPercent val="0"/>
          <c:showBubbleSize val="0"/>
        </c:dLbls>
        <c:gapWidth val="150"/>
        <c:overlap val="100"/>
        <c:axId val="948230895"/>
        <c:axId val="938782479"/>
      </c:barChart>
      <c:catAx>
        <c:axId val="94823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782479"/>
        <c:crosses val="autoZero"/>
        <c:auto val="1"/>
        <c:lblAlgn val="ctr"/>
        <c:lblOffset val="100"/>
        <c:noMultiLvlLbl val="0"/>
      </c:catAx>
      <c:valAx>
        <c:axId val="938782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23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Hospital</a:t>
            </a:r>
            <a:r>
              <a:rPr lang="en-IN" baseline="0"/>
              <a:t> Digital Readiness Ranking</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'09_CEO_DASHBOARD'!$B$10</c:f>
              <c:strCache>
                <c:ptCount val="1"/>
                <c:pt idx="0">
                  <c:v>Overall_Readiness_Score</c:v>
                </c:pt>
              </c:strCache>
            </c:strRef>
          </c:tx>
          <c:spPr>
            <a:solidFill>
              <a:schemeClr val="accent1"/>
            </a:solidFill>
            <a:ln>
              <a:noFill/>
            </a:ln>
            <a:effectLst/>
          </c:spPr>
          <c:invertIfNegative val="0"/>
          <c:cat>
            <c:strRef>
              <c:f>'09_CEO_DASHBOARD'!$A$11:$A$20</c:f>
              <c:strCache>
                <c:ptCount val="10"/>
                <c:pt idx="0">
                  <c:v>Marbel General Hospital</c:v>
                </c:pt>
                <c:pt idx="1">
                  <c:v>Nova Medical Centre</c:v>
                </c:pt>
                <c:pt idx="2">
                  <c:v>Aurora Medical Centre</c:v>
                </c:pt>
                <c:pt idx="3">
                  <c:v>Europa Health Institute</c:v>
                </c:pt>
                <c:pt idx="4">
                  <c:v>St. Clara Medical Centre</c:v>
                </c:pt>
                <c:pt idx="5">
                  <c:v>St.Aldric University Hospital</c:v>
                </c:pt>
                <c:pt idx="6">
                  <c:v>Helis General Hospital</c:v>
                </c:pt>
                <c:pt idx="7">
                  <c:v>Helix Medical Centre</c:v>
                </c:pt>
                <c:pt idx="8">
                  <c:v>Clinica Santa Marisol</c:v>
                </c:pt>
                <c:pt idx="9">
                  <c:v>Nordhavan Regional Medical Centre</c:v>
                </c:pt>
              </c:strCache>
            </c:strRef>
          </c:cat>
          <c:val>
            <c:numRef>
              <c:f>'09_CEO_DASHBOARD'!$B$11:$B$20</c:f>
              <c:numCache>
                <c:formatCode>General</c:formatCode>
                <c:ptCount val="10"/>
                <c:pt idx="0">
                  <c:v>83.7</c:v>
                </c:pt>
                <c:pt idx="1">
                  <c:v>83.3</c:v>
                </c:pt>
                <c:pt idx="2">
                  <c:v>82.399999999999991</c:v>
                </c:pt>
                <c:pt idx="3">
                  <c:v>82.399999999999991</c:v>
                </c:pt>
                <c:pt idx="4">
                  <c:v>75.7</c:v>
                </c:pt>
                <c:pt idx="5">
                  <c:v>74.600000000000009</c:v>
                </c:pt>
                <c:pt idx="6">
                  <c:v>56.5</c:v>
                </c:pt>
                <c:pt idx="7">
                  <c:v>44.7</c:v>
                </c:pt>
                <c:pt idx="8">
                  <c:v>42.9</c:v>
                </c:pt>
                <c:pt idx="9">
                  <c:v>23.9</c:v>
                </c:pt>
              </c:numCache>
            </c:numRef>
          </c:val>
          <c:extLst>
            <c:ext xmlns:c16="http://schemas.microsoft.com/office/drawing/2014/chart" uri="{C3380CC4-5D6E-409C-BE32-E72D297353CC}">
              <c16:uniqueId val="{00000000-9F43-45C3-9B9A-246DCE6C1194}"/>
            </c:ext>
          </c:extLst>
        </c:ser>
        <c:dLbls>
          <c:showLegendKey val="0"/>
          <c:showVal val="0"/>
          <c:showCatName val="0"/>
          <c:showSerName val="0"/>
          <c:showPercent val="0"/>
          <c:showBubbleSize val="0"/>
        </c:dLbls>
        <c:gapWidth val="182"/>
        <c:axId val="2065684704"/>
        <c:axId val="1833257264"/>
      </c:barChart>
      <c:catAx>
        <c:axId val="2065684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257264"/>
        <c:crosses val="autoZero"/>
        <c:auto val="1"/>
        <c:lblAlgn val="ctr"/>
        <c:lblOffset val="100"/>
        <c:noMultiLvlLbl val="0"/>
      </c:catAx>
      <c:valAx>
        <c:axId val="1833257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68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Estimated_Annual_Savings by Hospital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'09_CEO_DASHBOARD'!$L$10</c:f>
              <c:strCache>
                <c:ptCount val="1"/>
                <c:pt idx="0">
                  <c:v>Estimated_Annual_Savings</c:v>
                </c:pt>
              </c:strCache>
            </c:strRef>
          </c:tx>
          <c:spPr>
            <a:solidFill>
              <a:schemeClr val="accent1"/>
            </a:solidFill>
            <a:ln>
              <a:noFill/>
            </a:ln>
            <a:effectLst/>
          </c:spPr>
          <c:invertIfNegative val="0"/>
          <c:cat>
            <c:strRef>
              <c:f>'09_CEO_DASHBOARD'!$K$11:$K$20</c:f>
              <c:strCache>
                <c:ptCount val="10"/>
                <c:pt idx="0">
                  <c:v>Nova Medical Centre</c:v>
                </c:pt>
                <c:pt idx="1">
                  <c:v>Aurora Medical Centre</c:v>
                </c:pt>
                <c:pt idx="2">
                  <c:v>Helis General Hospital</c:v>
                </c:pt>
                <c:pt idx="3">
                  <c:v>St. Clara Medical Centre</c:v>
                </c:pt>
                <c:pt idx="4">
                  <c:v>Europa Health Institute</c:v>
                </c:pt>
                <c:pt idx="5">
                  <c:v>Marbel General Hospital</c:v>
                </c:pt>
                <c:pt idx="6">
                  <c:v>Helix Medical Centre</c:v>
                </c:pt>
                <c:pt idx="7">
                  <c:v>St.Aldric University Hospital</c:v>
                </c:pt>
                <c:pt idx="8">
                  <c:v>Clinica Santa Marisol</c:v>
                </c:pt>
                <c:pt idx="9">
                  <c:v>Nordhavan Regional Medical Centre</c:v>
                </c:pt>
              </c:strCache>
            </c:strRef>
          </c:cat>
          <c:val>
            <c:numRef>
              <c:f>'09_CEO_DASHBOARD'!$L$11:$L$20</c:f>
              <c:numCache>
                <c:formatCode>[$€-2]\ #,##0.00</c:formatCode>
                <c:ptCount val="10"/>
                <c:pt idx="0">
                  <c:v>15000</c:v>
                </c:pt>
                <c:pt idx="1">
                  <c:v>0</c:v>
                </c:pt>
                <c:pt idx="2">
                  <c:v>0</c:v>
                </c:pt>
                <c:pt idx="3">
                  <c:v>0</c:v>
                </c:pt>
                <c:pt idx="4">
                  <c:v>15000</c:v>
                </c:pt>
                <c:pt idx="5">
                  <c:v>0</c:v>
                </c:pt>
                <c:pt idx="6">
                  <c:v>15000</c:v>
                </c:pt>
                <c:pt idx="7">
                  <c:v>0</c:v>
                </c:pt>
                <c:pt idx="8">
                  <c:v>5000</c:v>
                </c:pt>
                <c:pt idx="9">
                  <c:v>0</c:v>
                </c:pt>
              </c:numCache>
            </c:numRef>
          </c:val>
          <c:extLst>
            <c:ext xmlns:c16="http://schemas.microsoft.com/office/drawing/2014/chart" uri="{C3380CC4-5D6E-409C-BE32-E72D297353CC}">
              <c16:uniqueId val="{00000000-FA0F-412D-AF4D-FE6B8FD00718}"/>
            </c:ext>
          </c:extLst>
        </c:ser>
        <c:dLbls>
          <c:showLegendKey val="0"/>
          <c:showVal val="0"/>
          <c:showCatName val="0"/>
          <c:showSerName val="0"/>
          <c:showPercent val="0"/>
          <c:showBubbleSize val="0"/>
        </c:dLbls>
        <c:gapWidth val="182"/>
        <c:axId val="2085389664"/>
        <c:axId val="1833319184"/>
      </c:barChart>
      <c:catAx>
        <c:axId val="208538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319184"/>
        <c:crosses val="autoZero"/>
        <c:auto val="1"/>
        <c:lblAlgn val="ctr"/>
        <c:lblOffset val="100"/>
        <c:noMultiLvlLbl val="0"/>
      </c:catAx>
      <c:valAx>
        <c:axId val="1833319184"/>
        <c:scaling>
          <c:orientation val="minMax"/>
        </c:scaling>
        <c:delete val="0"/>
        <c:axPos val="b"/>
        <c:majorGridlines>
          <c:spPr>
            <a:ln w="9525" cap="flat" cmpd="sng" algn="ctr">
              <a:solidFill>
                <a:schemeClr val="tx1">
                  <a:lumMod val="15000"/>
                  <a:lumOff val="85000"/>
                </a:schemeClr>
              </a:solidFill>
              <a:round/>
            </a:ln>
            <a:effectLst/>
          </c:spPr>
        </c:majorGridlines>
        <c:numFmt formatCode="[$€-2]\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38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1</xdr:row>
      <xdr:rowOff>129540</xdr:rowOff>
    </xdr:from>
    <xdr:to>
      <xdr:col>5</xdr:col>
      <xdr:colOff>76200</xdr:colOff>
      <xdr:row>15</xdr:row>
      <xdr:rowOff>150495</xdr:rowOff>
    </xdr:to>
    <mc:AlternateContent xmlns:mc="http://schemas.openxmlformats.org/markup-compatibility/2006" xmlns:a14="http://schemas.microsoft.com/office/drawing/2010/main">
      <mc:Choice Requires="a14">
        <xdr:graphicFrame macro="">
          <xdr:nvGraphicFramePr>
            <xdr:cNvPr id="2" name="Age_Group">
              <a:extLst>
                <a:ext uri="{FF2B5EF4-FFF2-40B4-BE49-F238E27FC236}">
                  <a16:creationId xmlns:a16="http://schemas.microsoft.com/office/drawing/2014/main" id="{7810C179-B720-3A11-3889-11593B9E65DA}"/>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3040380" y="3124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91440</xdr:colOff>
      <xdr:row>1</xdr:row>
      <xdr:rowOff>121920</xdr:rowOff>
    </xdr:from>
    <xdr:to>
      <xdr:col>8</xdr:col>
      <xdr:colOff>91440</xdr:colOff>
      <xdr:row>15</xdr:row>
      <xdr:rowOff>142875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7B5C3B88-0009-32CB-CEB0-164DCCF5417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884420" y="3048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99060</xdr:colOff>
      <xdr:row>1</xdr:row>
      <xdr:rowOff>114300</xdr:rowOff>
    </xdr:from>
    <xdr:to>
      <xdr:col>11</xdr:col>
      <xdr:colOff>99060</xdr:colOff>
      <xdr:row>15</xdr:row>
      <xdr:rowOff>135255</xdr:rowOff>
    </xdr:to>
    <mc:AlternateContent xmlns:mc="http://schemas.openxmlformats.org/markup-compatibility/2006" xmlns:a14="http://schemas.microsoft.com/office/drawing/2010/main">
      <mc:Choice Requires="a14">
        <xdr:graphicFrame macro="">
          <xdr:nvGraphicFramePr>
            <xdr:cNvPr id="4" name="Admission_Type">
              <a:extLst>
                <a:ext uri="{FF2B5EF4-FFF2-40B4-BE49-F238E27FC236}">
                  <a16:creationId xmlns:a16="http://schemas.microsoft.com/office/drawing/2014/main" id="{92C2733B-7F6D-2220-3A52-476A7E0375F5}"/>
                </a:ext>
              </a:extLst>
            </xdr:cNvPr>
            <xdr:cNvGraphicFramePr/>
          </xdr:nvGraphicFramePr>
          <xdr:xfrm>
            <a:off x="0" y="0"/>
            <a:ext cx="0" cy="0"/>
          </xdr:xfrm>
          <a:graphic>
            <a:graphicData uri="http://schemas.microsoft.com/office/drawing/2010/slicer">
              <sle:slicer xmlns:sle="http://schemas.microsoft.com/office/drawing/2010/slicer" name="Admission_Type"/>
            </a:graphicData>
          </a:graphic>
        </xdr:graphicFrame>
      </mc:Choice>
      <mc:Fallback xmlns="">
        <xdr:sp macro="" textlink="">
          <xdr:nvSpPr>
            <xdr:cNvPr id="0" name=""/>
            <xdr:cNvSpPr>
              <a:spLocks noTextEdit="1"/>
            </xdr:cNvSpPr>
          </xdr:nvSpPr>
          <xdr:spPr>
            <a:xfrm>
              <a:off x="6720840" y="2971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76200</xdr:colOff>
      <xdr:row>16</xdr:row>
      <xdr:rowOff>38100</xdr:rowOff>
    </xdr:from>
    <xdr:to>
      <xdr:col>5</xdr:col>
      <xdr:colOff>76200</xdr:colOff>
      <xdr:row>30</xdr:row>
      <xdr:rowOff>59055</xdr:rowOff>
    </xdr:to>
    <mc:AlternateContent xmlns:mc="http://schemas.openxmlformats.org/markup-compatibility/2006" xmlns:a14="http://schemas.microsoft.com/office/drawing/2010/main">
      <mc:Choice Requires="a14">
        <xdr:graphicFrame macro="">
          <xdr:nvGraphicFramePr>
            <xdr:cNvPr id="5" name="Hospital_Name">
              <a:extLst>
                <a:ext uri="{FF2B5EF4-FFF2-40B4-BE49-F238E27FC236}">
                  <a16:creationId xmlns:a16="http://schemas.microsoft.com/office/drawing/2014/main" id="{99F44AB7-FF09-82C2-DAA9-E215ED178F74}"/>
                </a:ext>
              </a:extLst>
            </xdr:cNvPr>
            <xdr:cNvGraphicFramePr/>
          </xdr:nvGraphicFramePr>
          <xdr:xfrm>
            <a:off x="0" y="0"/>
            <a:ext cx="0" cy="0"/>
          </xdr:xfrm>
          <a:graphic>
            <a:graphicData uri="http://schemas.microsoft.com/office/drawing/2010/slicer">
              <sle:slicer xmlns:sle="http://schemas.microsoft.com/office/drawing/2010/slicer" name="Hospital_Name"/>
            </a:graphicData>
          </a:graphic>
        </xdr:graphicFrame>
      </mc:Choice>
      <mc:Fallback xmlns="">
        <xdr:sp macro="" textlink="">
          <xdr:nvSpPr>
            <xdr:cNvPr id="0" name=""/>
            <xdr:cNvSpPr>
              <a:spLocks noTextEdit="1"/>
            </xdr:cNvSpPr>
          </xdr:nvSpPr>
          <xdr:spPr>
            <a:xfrm>
              <a:off x="3040380" y="29641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99060</xdr:colOff>
      <xdr:row>16</xdr:row>
      <xdr:rowOff>15240</xdr:rowOff>
    </xdr:from>
    <xdr:to>
      <xdr:col>8</xdr:col>
      <xdr:colOff>99060</xdr:colOff>
      <xdr:row>30</xdr:row>
      <xdr:rowOff>36195</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E8101B2E-5BB0-B6BC-937C-E700A8FC0BC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892040" y="29413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144780</xdr:colOff>
      <xdr:row>1</xdr:row>
      <xdr:rowOff>114300</xdr:rowOff>
    </xdr:from>
    <xdr:to>
      <xdr:col>14</xdr:col>
      <xdr:colOff>144780</xdr:colOff>
      <xdr:row>15</xdr:row>
      <xdr:rowOff>135255</xdr:rowOff>
    </xdr:to>
    <mc:AlternateContent xmlns:mc="http://schemas.openxmlformats.org/markup-compatibility/2006" xmlns:a14="http://schemas.microsoft.com/office/drawing/2010/main">
      <mc:Choice Requires="a14">
        <xdr:graphicFrame macro="">
          <xdr:nvGraphicFramePr>
            <xdr:cNvPr id="7" name="FHIR_Status">
              <a:extLst>
                <a:ext uri="{FF2B5EF4-FFF2-40B4-BE49-F238E27FC236}">
                  <a16:creationId xmlns:a16="http://schemas.microsoft.com/office/drawing/2014/main" id="{75E7C23F-329A-DA56-2105-7978D9218CC5}"/>
                </a:ext>
              </a:extLst>
            </xdr:cNvPr>
            <xdr:cNvGraphicFramePr/>
          </xdr:nvGraphicFramePr>
          <xdr:xfrm>
            <a:off x="0" y="0"/>
            <a:ext cx="0" cy="0"/>
          </xdr:xfrm>
          <a:graphic>
            <a:graphicData uri="http://schemas.microsoft.com/office/drawing/2010/slicer">
              <sle:slicer xmlns:sle="http://schemas.microsoft.com/office/drawing/2010/slicer" name="FHIR_Status"/>
            </a:graphicData>
          </a:graphic>
        </xdr:graphicFrame>
      </mc:Choice>
      <mc:Fallback xmlns="">
        <xdr:sp macro="" textlink="">
          <xdr:nvSpPr>
            <xdr:cNvPr id="0" name=""/>
            <xdr:cNvSpPr>
              <a:spLocks noTextEdit="1"/>
            </xdr:cNvSpPr>
          </xdr:nvSpPr>
          <xdr:spPr>
            <a:xfrm>
              <a:off x="8595360" y="2971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121920</xdr:colOff>
      <xdr:row>16</xdr:row>
      <xdr:rowOff>0</xdr:rowOff>
    </xdr:from>
    <xdr:to>
      <xdr:col>11</xdr:col>
      <xdr:colOff>121920</xdr:colOff>
      <xdr:row>30</xdr:row>
      <xdr:rowOff>20955</xdr:rowOff>
    </xdr:to>
    <mc:AlternateContent xmlns:mc="http://schemas.openxmlformats.org/markup-compatibility/2006" xmlns:a14="http://schemas.microsoft.com/office/drawing/2010/main">
      <mc:Choice Requires="a14">
        <xdr:graphicFrame macro="">
          <xdr:nvGraphicFramePr>
            <xdr:cNvPr id="8" name="Duplicate_Test">
              <a:extLst>
                <a:ext uri="{FF2B5EF4-FFF2-40B4-BE49-F238E27FC236}">
                  <a16:creationId xmlns:a16="http://schemas.microsoft.com/office/drawing/2014/main" id="{314AD457-2D9E-7BF9-DA00-25D2F2E63A88}"/>
                </a:ext>
              </a:extLst>
            </xdr:cNvPr>
            <xdr:cNvGraphicFramePr/>
          </xdr:nvGraphicFramePr>
          <xdr:xfrm>
            <a:off x="0" y="0"/>
            <a:ext cx="0" cy="0"/>
          </xdr:xfrm>
          <a:graphic>
            <a:graphicData uri="http://schemas.microsoft.com/office/drawing/2010/slicer">
              <sle:slicer xmlns:sle="http://schemas.microsoft.com/office/drawing/2010/slicer" name="Duplicate_Test"/>
            </a:graphicData>
          </a:graphic>
        </xdr:graphicFrame>
      </mc:Choice>
      <mc:Fallback xmlns="">
        <xdr:sp macro="" textlink="">
          <xdr:nvSpPr>
            <xdr:cNvPr id="0" name=""/>
            <xdr:cNvSpPr>
              <a:spLocks noTextEdit="1"/>
            </xdr:cNvSpPr>
          </xdr:nvSpPr>
          <xdr:spPr>
            <a:xfrm>
              <a:off x="6743700" y="29260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922020</xdr:colOff>
      <xdr:row>13</xdr:row>
      <xdr:rowOff>102870</xdr:rowOff>
    </xdr:from>
    <xdr:to>
      <xdr:col>8</xdr:col>
      <xdr:colOff>91440</xdr:colOff>
      <xdr:row>28</xdr:row>
      <xdr:rowOff>102870</xdr:rowOff>
    </xdr:to>
    <xdr:graphicFrame macro="">
      <xdr:nvGraphicFramePr>
        <xdr:cNvPr id="3" name="Chart 2">
          <a:extLst>
            <a:ext uri="{FF2B5EF4-FFF2-40B4-BE49-F238E27FC236}">
              <a16:creationId xmlns:a16="http://schemas.microsoft.com/office/drawing/2014/main" id="{C9D3B483-1DED-F4AE-2606-5E49E92A3D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670560</xdr:colOff>
      <xdr:row>13</xdr:row>
      <xdr:rowOff>179070</xdr:rowOff>
    </xdr:from>
    <xdr:to>
      <xdr:col>8</xdr:col>
      <xdr:colOff>1234440</xdr:colOff>
      <xdr:row>25</xdr:row>
      <xdr:rowOff>83820</xdr:rowOff>
    </xdr:to>
    <xdr:graphicFrame macro="">
      <xdr:nvGraphicFramePr>
        <xdr:cNvPr id="2" name="Chart 1">
          <a:extLst>
            <a:ext uri="{FF2B5EF4-FFF2-40B4-BE49-F238E27FC236}">
              <a16:creationId xmlns:a16="http://schemas.microsoft.com/office/drawing/2014/main" id="{33119A2B-0CAA-F0E1-3684-2B64376FA1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228600</xdr:colOff>
      <xdr:row>28</xdr:row>
      <xdr:rowOff>3810</xdr:rowOff>
    </xdr:from>
    <xdr:to>
      <xdr:col>8</xdr:col>
      <xdr:colOff>571500</xdr:colOff>
      <xdr:row>42</xdr:row>
      <xdr:rowOff>87630</xdr:rowOff>
    </xdr:to>
    <xdr:graphicFrame macro="">
      <xdr:nvGraphicFramePr>
        <xdr:cNvPr id="3" name="Chart 2">
          <a:extLst>
            <a:ext uri="{FF2B5EF4-FFF2-40B4-BE49-F238E27FC236}">
              <a16:creationId xmlns:a16="http://schemas.microsoft.com/office/drawing/2014/main" id="{9F2B551A-E04A-F32E-8FFB-CAD582277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30480</xdr:colOff>
      <xdr:row>8</xdr:row>
      <xdr:rowOff>167640</xdr:rowOff>
    </xdr:from>
    <xdr:to>
      <xdr:col>9</xdr:col>
      <xdr:colOff>266700</xdr:colOff>
      <xdr:row>20</xdr:row>
      <xdr:rowOff>22860</xdr:rowOff>
    </xdr:to>
    <xdr:graphicFrame macro="">
      <xdr:nvGraphicFramePr>
        <xdr:cNvPr id="2" name="Chart 1">
          <a:extLst>
            <a:ext uri="{FF2B5EF4-FFF2-40B4-BE49-F238E27FC236}">
              <a16:creationId xmlns:a16="http://schemas.microsoft.com/office/drawing/2014/main" id="{55E8C28D-EE29-9B1E-32B0-D112DA574F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8</xdr:row>
      <xdr:rowOff>140970</xdr:rowOff>
    </xdr:from>
    <xdr:to>
      <xdr:col>21</xdr:col>
      <xdr:colOff>579120</xdr:colOff>
      <xdr:row>19</xdr:row>
      <xdr:rowOff>160020</xdr:rowOff>
    </xdr:to>
    <xdr:graphicFrame macro="">
      <xdr:nvGraphicFramePr>
        <xdr:cNvPr id="3" name="Chart 2">
          <a:extLst>
            <a:ext uri="{FF2B5EF4-FFF2-40B4-BE49-F238E27FC236}">
              <a16:creationId xmlns:a16="http://schemas.microsoft.com/office/drawing/2014/main" id="{F5395938-0A38-3886-8878-51EC266162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baker Garve" refreshedDate="46298.656475115742" createdVersion="8" refreshedVersion="8" minRefreshableVersion="3" recordCount="50" xr:uid="{6ADCF56F-83DC-4264-BE48-4EE83CC37858}">
  <cacheSource type="worksheet">
    <worksheetSource name="tblEncounters6"/>
  </cacheSource>
  <cacheFields count="19">
    <cacheField name="Encounter_ID" numFmtId="0">
      <sharedItems/>
    </cacheField>
    <cacheField name="Patient_ID" numFmtId="0">
      <sharedItems/>
    </cacheField>
    <cacheField name="Hospital_ID" numFmtId="0">
      <sharedItems/>
    </cacheField>
    <cacheField name="Age" numFmtId="0">
      <sharedItems containsSemiMixedTypes="0" containsString="0" containsNumber="1" containsInteger="1" minValue="19" maxValue="89"/>
    </cacheField>
    <cacheField name="Age_Group" numFmtId="0">
      <sharedItems count="5">
        <s v="30-44"/>
        <s v="60-74"/>
        <s v="75+"/>
        <s v="45-59"/>
        <s v="18-29"/>
      </sharedItems>
    </cacheField>
    <cacheField name="Sex" numFmtId="0">
      <sharedItems/>
    </cacheField>
    <cacheField name="Department" numFmtId="0">
      <sharedItems count="6">
        <s v="General Medicine"/>
        <s v="Cardiology"/>
        <s v="Neurology"/>
        <s v="Orthopaedics"/>
        <s v="Psychiatry"/>
        <s v="General Surgery"/>
      </sharedItems>
    </cacheField>
    <cacheField name="Admission_Type" numFmtId="0">
      <sharedItems count="2">
        <s v="Emergency"/>
        <s v="Planned"/>
      </sharedItems>
    </cacheField>
    <cacheField name="Admission_Date" numFmtId="15">
      <sharedItems containsSemiMixedTypes="0" containsNonDate="0" containsDate="1" containsString="0" minDate="2026-01-03T00:00:00" maxDate="2026-04-01T00:00:00"/>
    </cacheField>
    <cacheField name="Discharge_Date" numFmtId="15">
      <sharedItems containsSemiMixedTypes="0" containsNonDate="0" containsDate="1" containsString="0" minDate="2026-01-06T00:00:00" maxDate="2026-04-10T00:00:00"/>
    </cacheField>
    <cacheField name="LOS_Days" numFmtId="0">
      <sharedItems containsSemiMixedTypes="0" containsString="0" containsNumber="1" containsInteger="1" minValue="1" maxValue="12"/>
    </cacheField>
    <cacheField name="Readmission_30D" numFmtId="15">
      <sharedItems/>
    </cacheField>
    <cacheField name="Discharge_Destination" numFmtId="0">
      <sharedItems/>
    </cacheField>
    <cacheField name="Documentation_Complete" numFmtId="0">
      <sharedItems/>
    </cacheField>
    <cacheField name="Duplicate_Test" numFmtId="0">
      <sharedItems count="2">
        <s v="Yes"/>
        <s v="No"/>
      </sharedItems>
    </cacheField>
    <cacheField name="Referral_Required" numFmtId="0">
      <sharedItems/>
    </cacheField>
    <cacheField name="Hospital_Name" numFmtId="0">
      <sharedItems count="10">
        <s v="Nova Medical Centre"/>
        <s v="Aurora Medical Centre"/>
        <s v="Helis General Hospital"/>
        <s v="St. Clara Medical Centre"/>
        <s v="Europa Health Institute"/>
        <s v="Marbel General Hospital"/>
        <s v="Helix Medical Centre"/>
        <s v="St.Aldric University Hospital"/>
        <s v="Clinica Santa Marisol"/>
        <s v="Nordhavan Regional Medical Centre"/>
      </sharedItems>
    </cacheField>
    <cacheField name="Country" numFmtId="0">
      <sharedItems count="10">
        <s v="Germany"/>
        <s v="Netherland"/>
        <s v="Austria"/>
        <s v="France"/>
        <s v="Belgium "/>
        <s v="Sweden"/>
        <s v="Denmark"/>
        <s v="Finland"/>
        <s v="Spain"/>
        <s v="Italy"/>
      </sharedItems>
    </cacheField>
    <cacheField name="FHIR_Status" numFmtId="0">
      <sharedItems count="3">
        <s v="Yes"/>
        <s v="Partial"/>
        <s v="No"/>
      </sharedItems>
    </cacheField>
  </cacheFields>
  <extLst>
    <ext xmlns:x14="http://schemas.microsoft.com/office/spreadsheetml/2009/9/main" uri="{725AE2AE-9491-48be-B2B4-4EB974FC3084}">
      <x14:pivotCacheDefinition pivotCacheId="8479394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baker Garve" refreshedDate="46298.660970486111" createdVersion="8" refreshedVersion="8" minRefreshableVersion="3" recordCount="50" xr:uid="{44FBE33F-9617-4585-90C8-E105B3E0FF50}">
  <cacheSource type="worksheet">
    <worksheetSource name="tblEncounters5"/>
  </cacheSource>
  <cacheFields count="29">
    <cacheField name="Encounter_ID" numFmtId="0">
      <sharedItems/>
    </cacheField>
    <cacheField name="Patient_ID" numFmtId="0">
      <sharedItems/>
    </cacheField>
    <cacheField name="Hospital_ID" numFmtId="0">
      <sharedItems/>
    </cacheField>
    <cacheField name="Age" numFmtId="0">
      <sharedItems containsString="0" containsBlank="1" containsNumber="1" containsInteger="1" minValue="-3" maxValue="145"/>
    </cacheField>
    <cacheField name="Age_Group" numFmtId="0">
      <sharedItems count="5">
        <s v="30-44"/>
        <s v="60-74"/>
        <s v="75+"/>
        <s v="45-59"/>
        <s v="18-29"/>
      </sharedItems>
    </cacheField>
    <cacheField name="Sex" numFmtId="0">
      <sharedItems/>
    </cacheField>
    <cacheField name="Department" numFmtId="0">
      <sharedItems containsBlank="1" count="11">
        <s v="General Medicine"/>
        <m/>
        <s v="NeUrology"/>
        <s v="Orthopaedics"/>
        <s v="Psychiatry"/>
        <s v="General        Surgery"/>
        <s v="Gen  Medicine"/>
        <s v="Cardiology"/>
        <s v="General Surgery"/>
        <s v="General   Medicine"/>
        <s v="        Cardiology"/>
      </sharedItems>
    </cacheField>
    <cacheField name="Admission_Type" numFmtId="0">
      <sharedItems/>
    </cacheField>
    <cacheField name="Admission_Date" numFmtId="15">
      <sharedItems containsSemiMixedTypes="0" containsNonDate="0" containsDate="1" containsString="0" minDate="2026-01-03T00:00:00" maxDate="2026-04-01T00:00:00"/>
    </cacheField>
    <cacheField name="Discharge_Date" numFmtId="15">
      <sharedItems containsNonDate="0" containsDate="1" containsString="0" containsBlank="1" minDate="2026-01-06T00:00:00" maxDate="2026-04-08T00:00:00"/>
    </cacheField>
    <cacheField name="LOS_Days" numFmtId="0">
      <sharedItems containsSemiMixedTypes="0" containsString="0" containsNumber="1" containsInteger="1" minValue="-46057" maxValue="12"/>
    </cacheField>
    <cacheField name="Readmission_30D" numFmtId="15">
      <sharedItems count="2">
        <s v="Yes"/>
        <s v="No"/>
      </sharedItems>
    </cacheField>
    <cacheField name="Discharge_Destination" numFmtId="0">
      <sharedItems/>
    </cacheField>
    <cacheField name="Documentation_Complete" numFmtId="0">
      <sharedItems containsBlank="1" count="3">
        <s v="Yes"/>
        <m/>
        <s v="No"/>
      </sharedItems>
    </cacheField>
    <cacheField name="Duplicate_Test" numFmtId="0">
      <sharedItems count="2">
        <s v="Yes"/>
        <s v="No"/>
      </sharedItems>
    </cacheField>
    <cacheField name="Referral_Required" numFmtId="0">
      <sharedItems count="2">
        <s v="Yes"/>
        <s v="No"/>
      </sharedItems>
    </cacheField>
    <cacheField name="Hospital_Name" numFmtId="0">
      <sharedItems count="10">
        <s v="Nova Medical Centre"/>
        <s v="Aurora Medical Centre"/>
        <s v="Helis General Hospital"/>
        <s v="St. Clara Medical Centre"/>
        <s v="Europa Health Institute"/>
        <s v="Marbel General Hospital"/>
        <s v="Helix Medical Centre"/>
        <s v="St.Aldric University Hospital"/>
        <s v="Clinica Santa Marisol"/>
        <s v="Nordhavan Regional Medical Centre"/>
      </sharedItems>
    </cacheField>
    <cacheField name="Country" numFmtId="0">
      <sharedItems/>
    </cacheField>
    <cacheField name="FHIR_Status" numFmtId="0">
      <sharedItems count="3">
        <s v="Yes"/>
        <s v="Partial"/>
        <s v="No"/>
      </sharedItems>
    </cacheField>
    <cacheField name="DQ_Flag" numFmtId="0">
      <sharedItems/>
    </cacheField>
    <cacheField name="Duplicate_Encounter_Flag" numFmtId="0">
      <sharedItems/>
    </cacheField>
    <cacheField name="Department 1" numFmtId="0">
      <sharedItems/>
    </cacheField>
    <cacheField name="Sex_Clean" numFmtId="0">
      <sharedItems/>
    </cacheField>
    <cacheField name="Admission_Type_Clean" numFmtId="0">
      <sharedItems count="2">
        <s v="Emergency"/>
        <s v="Planned"/>
      </sharedItems>
    </cacheField>
    <cacheField name="Date_Check" numFmtId="0">
      <sharedItems/>
    </cacheField>
    <cacheField name="Calculated_LOS" numFmtId="0">
      <sharedItems containsMixedTypes="1" containsNumber="1" containsInteger="1" minValue="1" maxValue="12"/>
    </cacheField>
    <cacheField name="LOS_Check" numFmtId="0">
      <sharedItems/>
    </cacheField>
    <cacheField name="Hospital_ID_Check" numFmtId="0">
      <sharedItems/>
    </cacheField>
    <cacheField name="DQ_Issue_Typ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E0001"/>
    <s v="P0001"/>
    <s v="H001"/>
    <n v="34"/>
    <x v="0"/>
    <s v="Female"/>
    <x v="0"/>
    <x v="0"/>
    <d v="2026-02-21T00:00:00"/>
    <d v="2026-02-23T00:00:00"/>
    <n v="2"/>
    <s v="Yes"/>
    <s v="Home"/>
    <s v="Yes"/>
    <x v="0"/>
    <s v="Yes"/>
    <x v="0"/>
    <x v="0"/>
    <x v="0"/>
  </r>
  <r>
    <s v="E0002"/>
    <s v="P0002"/>
    <s v="H002"/>
    <n v="72"/>
    <x v="1"/>
    <s v="Male"/>
    <x v="1"/>
    <x v="1"/>
    <d v="2026-03-28T00:00:00"/>
    <d v="2026-03-29T00:00:00"/>
    <n v="1"/>
    <s v="No"/>
    <s v="Rehabilitation"/>
    <s v="Yes"/>
    <x v="1"/>
    <s v="No"/>
    <x v="1"/>
    <x v="1"/>
    <x v="0"/>
  </r>
  <r>
    <s v="E0003"/>
    <s v="P0003"/>
    <s v="H003"/>
    <n v="89"/>
    <x v="2"/>
    <s v="Male"/>
    <x v="2"/>
    <x v="0"/>
    <d v="2026-01-13T00:00:00"/>
    <d v="2026-01-18T00:00:00"/>
    <n v="5"/>
    <s v="Yes"/>
    <s v="Another Hospital"/>
    <s v="Yes"/>
    <x v="1"/>
    <s v="No"/>
    <x v="2"/>
    <x v="2"/>
    <x v="1"/>
  </r>
  <r>
    <s v="E0004"/>
    <s v="P0004"/>
    <s v="H004"/>
    <n v="49"/>
    <x v="3"/>
    <s v="Female"/>
    <x v="3"/>
    <x v="1"/>
    <d v="2026-02-25T00:00:00"/>
    <d v="2026-02-28T00:00:00"/>
    <n v="3"/>
    <s v="No"/>
    <s v="Nursing Facility"/>
    <s v="Yes"/>
    <x v="1"/>
    <s v="No"/>
    <x v="3"/>
    <x v="3"/>
    <x v="0"/>
  </r>
  <r>
    <s v="E0005"/>
    <s v="P0005"/>
    <s v="H005"/>
    <n v="87"/>
    <x v="2"/>
    <s v="Male"/>
    <x v="4"/>
    <x v="0"/>
    <d v="2026-01-28T00:00:00"/>
    <d v="2026-01-31T00:00:00"/>
    <n v="3"/>
    <s v="No"/>
    <s v="Against Medical Advice"/>
    <s v="Yes"/>
    <x v="1"/>
    <s v="Yes"/>
    <x v="4"/>
    <x v="4"/>
    <x v="0"/>
  </r>
  <r>
    <s v="E0006"/>
    <s v="P0006"/>
    <s v="H006"/>
    <n v="37"/>
    <x v="0"/>
    <s v="Female"/>
    <x v="5"/>
    <x v="1"/>
    <d v="2026-03-31T00:00:00"/>
    <d v="2026-04-07T00:00:00"/>
    <n v="7"/>
    <s v="No"/>
    <s v="Home"/>
    <s v="Yes"/>
    <x v="1"/>
    <s v="Yes"/>
    <x v="5"/>
    <x v="5"/>
    <x v="0"/>
  </r>
  <r>
    <s v="E0007"/>
    <s v="P0007"/>
    <s v="H007"/>
    <n v="65"/>
    <x v="1"/>
    <s v="Female"/>
    <x v="0"/>
    <x v="0"/>
    <d v="2026-01-13T00:00:00"/>
    <d v="2026-01-18T00:00:00"/>
    <n v="5"/>
    <s v="No"/>
    <s v="Rehabilitation"/>
    <s v="Yes"/>
    <x v="0"/>
    <s v="No"/>
    <x v="6"/>
    <x v="6"/>
    <x v="1"/>
  </r>
  <r>
    <s v="E0008"/>
    <s v="P0008"/>
    <s v="H008"/>
    <n v="44"/>
    <x v="0"/>
    <s v="Male"/>
    <x v="1"/>
    <x v="1"/>
    <d v="2026-02-22T00:00:00"/>
    <d v="2026-03-05T00:00:00"/>
    <n v="11"/>
    <s v="No"/>
    <s v="Another Hospital"/>
    <s v="Yes"/>
    <x v="1"/>
    <s v="Yes"/>
    <x v="7"/>
    <x v="7"/>
    <x v="0"/>
  </r>
  <r>
    <s v="E0009"/>
    <s v="P0009"/>
    <s v="H009"/>
    <n v="37"/>
    <x v="0"/>
    <s v="Female"/>
    <x v="2"/>
    <x v="0"/>
    <d v="2026-02-04T00:00:00"/>
    <d v="2026-02-06T00:00:00"/>
    <n v="2"/>
    <s v="Yes"/>
    <s v="Nursing Facility"/>
    <s v="Yes"/>
    <x v="1"/>
    <s v="No"/>
    <x v="8"/>
    <x v="8"/>
    <x v="1"/>
  </r>
  <r>
    <s v="E0010"/>
    <s v="P0010"/>
    <s v="H010"/>
    <n v="39"/>
    <x v="0"/>
    <s v="Male"/>
    <x v="3"/>
    <x v="0"/>
    <d v="2026-03-24T00:00:00"/>
    <d v="2026-03-30T00:00:00"/>
    <n v="6"/>
    <s v="No"/>
    <s v="Against Medical Advice"/>
    <s v="No"/>
    <x v="1"/>
    <s v="No"/>
    <x v="9"/>
    <x v="9"/>
    <x v="2"/>
  </r>
  <r>
    <s v="E0011"/>
    <s v="P0011"/>
    <s v="H001"/>
    <n v="38"/>
    <x v="0"/>
    <s v="Female"/>
    <x v="4"/>
    <x v="0"/>
    <d v="2026-03-22T00:00:00"/>
    <d v="2026-03-23T00:00:00"/>
    <n v="1"/>
    <s v="No"/>
    <s v="Home"/>
    <s v="Yes"/>
    <x v="1"/>
    <s v="Yes"/>
    <x v="0"/>
    <x v="0"/>
    <x v="0"/>
  </r>
  <r>
    <s v="E0012"/>
    <s v="P0012"/>
    <s v="H002"/>
    <n v="79"/>
    <x v="2"/>
    <s v="Female"/>
    <x v="5"/>
    <x v="0"/>
    <d v="2026-03-26T00:00:00"/>
    <d v="2026-04-05T00:00:00"/>
    <n v="10"/>
    <s v="No"/>
    <s v="Rehabilitation"/>
    <s v="Yes"/>
    <x v="1"/>
    <s v="No"/>
    <x v="1"/>
    <x v="1"/>
    <x v="0"/>
  </r>
  <r>
    <s v="E0013"/>
    <s v="P0013"/>
    <s v="H003"/>
    <n v="40"/>
    <x v="0"/>
    <s v="Male"/>
    <x v="0"/>
    <x v="0"/>
    <d v="2026-01-24T00:00:00"/>
    <d v="2026-01-31T00:00:00"/>
    <n v="7"/>
    <s v="Yes"/>
    <s v="Another Hospital"/>
    <s v="Yes"/>
    <x v="1"/>
    <s v="No"/>
    <x v="2"/>
    <x v="2"/>
    <x v="1"/>
  </r>
  <r>
    <s v="E0014"/>
    <s v="P0014"/>
    <s v="H004"/>
    <n v="39"/>
    <x v="0"/>
    <s v="Male"/>
    <x v="1"/>
    <x v="0"/>
    <d v="2026-01-28T00:00:00"/>
    <d v="2026-02-09T00:00:00"/>
    <n v="12"/>
    <s v="No"/>
    <s v="Nursing Facility"/>
    <s v="Yes"/>
    <x v="1"/>
    <s v="No"/>
    <x v="3"/>
    <x v="3"/>
    <x v="0"/>
  </r>
  <r>
    <s v="E0015"/>
    <s v="P0015"/>
    <s v="H005"/>
    <n v="41"/>
    <x v="0"/>
    <s v="Female"/>
    <x v="2"/>
    <x v="0"/>
    <d v="2026-03-09T00:00:00"/>
    <d v="2026-03-13T00:00:00"/>
    <n v="4"/>
    <s v="No"/>
    <s v="Against Medical Advice"/>
    <s v="Yes"/>
    <x v="0"/>
    <s v="No"/>
    <x v="4"/>
    <x v="4"/>
    <x v="0"/>
  </r>
  <r>
    <s v="E0016"/>
    <s v="P0016"/>
    <s v="H006"/>
    <n v="85"/>
    <x v="2"/>
    <s v="Male"/>
    <x v="3"/>
    <x v="1"/>
    <d v="2026-03-03T00:00:00"/>
    <d v="2026-03-10T00:00:00"/>
    <n v="7"/>
    <s v="No"/>
    <s v="Home"/>
    <s v="Yes"/>
    <x v="1"/>
    <s v="No"/>
    <x v="5"/>
    <x v="5"/>
    <x v="0"/>
  </r>
  <r>
    <s v="E0017"/>
    <s v="P0017"/>
    <s v="H007"/>
    <n v="40"/>
    <x v="0"/>
    <s v="Female"/>
    <x v="4"/>
    <x v="0"/>
    <d v="2026-01-22T00:00:00"/>
    <d v="2026-01-28T00:00:00"/>
    <n v="6"/>
    <s v="Yes"/>
    <s v="Rehabilitation"/>
    <s v="Yes"/>
    <x v="1"/>
    <s v="Yes"/>
    <x v="6"/>
    <x v="6"/>
    <x v="1"/>
  </r>
  <r>
    <s v="E0018"/>
    <s v="P0018"/>
    <s v="H008"/>
    <n v="72"/>
    <x v="1"/>
    <s v="Male"/>
    <x v="5"/>
    <x v="1"/>
    <d v="2026-01-22T00:00:00"/>
    <d v="2026-02-02T00:00:00"/>
    <n v="11"/>
    <s v="No"/>
    <s v="Another Hospital"/>
    <s v="Yes"/>
    <x v="1"/>
    <s v="Yes"/>
    <x v="7"/>
    <x v="7"/>
    <x v="0"/>
  </r>
  <r>
    <s v="E0019"/>
    <s v="P0019"/>
    <s v="H009"/>
    <n v="81"/>
    <x v="2"/>
    <s v="Female"/>
    <x v="0"/>
    <x v="0"/>
    <d v="2026-03-24T00:00:00"/>
    <d v="2026-03-30T00:00:00"/>
    <n v="6"/>
    <s v="No"/>
    <s v="Nursing Facility"/>
    <s v="Yes"/>
    <x v="1"/>
    <s v="No"/>
    <x v="8"/>
    <x v="8"/>
    <x v="1"/>
  </r>
  <r>
    <s v="E0020"/>
    <s v="P0020"/>
    <s v="H010"/>
    <n v="69"/>
    <x v="1"/>
    <s v="Male"/>
    <x v="1"/>
    <x v="0"/>
    <d v="2026-03-15T00:00:00"/>
    <d v="2026-03-20T00:00:00"/>
    <n v="5"/>
    <s v="No"/>
    <s v="Against Medical Advice"/>
    <s v="Yes"/>
    <x v="1"/>
    <s v="No"/>
    <x v="9"/>
    <x v="9"/>
    <x v="2"/>
  </r>
  <r>
    <s v="E0021"/>
    <s v="P0021"/>
    <s v="H001"/>
    <n v="63"/>
    <x v="1"/>
    <s v="Male"/>
    <x v="2"/>
    <x v="0"/>
    <d v="2026-03-31T00:00:00"/>
    <d v="2026-04-09T00:00:00"/>
    <n v="9"/>
    <s v="Yes"/>
    <s v="Home"/>
    <s v="Yes"/>
    <x v="0"/>
    <s v="No"/>
    <x v="0"/>
    <x v="0"/>
    <x v="0"/>
  </r>
  <r>
    <s v="E0022"/>
    <s v="P0022"/>
    <s v="H002"/>
    <n v="56"/>
    <x v="3"/>
    <s v="Female"/>
    <x v="3"/>
    <x v="1"/>
    <d v="2026-03-12T00:00:00"/>
    <d v="2026-03-15T00:00:00"/>
    <n v="3"/>
    <s v="No"/>
    <s v="Rehabilitation"/>
    <s v="Yes"/>
    <x v="1"/>
    <s v="No"/>
    <x v="1"/>
    <x v="1"/>
    <x v="0"/>
  </r>
  <r>
    <s v="E0023"/>
    <s v="P0023"/>
    <s v="H003"/>
    <n v="85"/>
    <x v="2"/>
    <s v="Female"/>
    <x v="4"/>
    <x v="0"/>
    <d v="2026-01-03T00:00:00"/>
    <d v="2026-01-08T00:00:00"/>
    <n v="5"/>
    <s v="No"/>
    <s v="Another Hospital"/>
    <s v="Yes"/>
    <x v="1"/>
    <s v="No"/>
    <x v="2"/>
    <x v="2"/>
    <x v="1"/>
  </r>
  <r>
    <s v="E0024"/>
    <s v="P0024"/>
    <s v="H004"/>
    <n v="49"/>
    <x v="3"/>
    <s v="Male"/>
    <x v="5"/>
    <x v="1"/>
    <d v="2026-02-18T00:00:00"/>
    <d v="2026-02-21T00:00:00"/>
    <n v="3"/>
    <s v="No"/>
    <s v="Nursing Facility"/>
    <s v="No"/>
    <x v="1"/>
    <s v="No"/>
    <x v="3"/>
    <x v="3"/>
    <x v="0"/>
  </r>
  <r>
    <s v="E0025"/>
    <s v="P0025"/>
    <s v="H005"/>
    <n v="25"/>
    <x v="4"/>
    <s v="Female"/>
    <x v="0"/>
    <x v="0"/>
    <d v="2026-03-19T00:00:00"/>
    <d v="2026-03-22T00:00:00"/>
    <n v="3"/>
    <s v="No"/>
    <s v="Against Medical Advice"/>
    <s v="Yes"/>
    <x v="1"/>
    <s v="No"/>
    <x v="4"/>
    <x v="4"/>
    <x v="0"/>
  </r>
  <r>
    <s v="E0026"/>
    <s v="P0026"/>
    <s v="H006"/>
    <n v="45"/>
    <x v="3"/>
    <s v="Male"/>
    <x v="1"/>
    <x v="1"/>
    <d v="2026-01-19T00:00:00"/>
    <d v="2026-01-20T00:00:00"/>
    <n v="1"/>
    <s v="No"/>
    <s v="Home"/>
    <s v="Yes"/>
    <x v="1"/>
    <s v="Yes"/>
    <x v="5"/>
    <x v="5"/>
    <x v="0"/>
  </r>
  <r>
    <s v="E0027"/>
    <s v="P0027"/>
    <s v="H007"/>
    <n v="48"/>
    <x v="3"/>
    <s v="Female"/>
    <x v="2"/>
    <x v="0"/>
    <d v="2026-02-26T00:00:00"/>
    <d v="2026-03-09T00:00:00"/>
    <n v="11"/>
    <s v="Yes"/>
    <s v="Rehabilitation"/>
    <s v="Yes"/>
    <x v="0"/>
    <s v="Yes"/>
    <x v="6"/>
    <x v="6"/>
    <x v="1"/>
  </r>
  <r>
    <s v="E0028"/>
    <s v="P0028"/>
    <s v="H008"/>
    <n v="53"/>
    <x v="3"/>
    <s v="Female"/>
    <x v="3"/>
    <x v="1"/>
    <d v="2026-01-30T00:00:00"/>
    <d v="2026-02-01T00:00:00"/>
    <n v="2"/>
    <s v="No"/>
    <s v="Another Hospital"/>
    <s v="Yes"/>
    <x v="1"/>
    <s v="No"/>
    <x v="7"/>
    <x v="7"/>
    <x v="0"/>
  </r>
  <r>
    <s v="E0029"/>
    <s v="P0029"/>
    <s v="H009"/>
    <n v="41"/>
    <x v="0"/>
    <s v="Male"/>
    <x v="4"/>
    <x v="0"/>
    <d v="2026-03-06T00:00:00"/>
    <d v="2026-03-07T00:00:00"/>
    <n v="1"/>
    <s v="No"/>
    <s v="Nursing Facility"/>
    <s v="Yes"/>
    <x v="1"/>
    <s v="No"/>
    <x v="8"/>
    <x v="8"/>
    <x v="1"/>
  </r>
  <r>
    <s v="E0030"/>
    <s v="P0030"/>
    <s v="H010"/>
    <n v="26"/>
    <x v="4"/>
    <s v="Female"/>
    <x v="5"/>
    <x v="1"/>
    <d v="2026-02-15T00:00:00"/>
    <d v="2026-02-26T00:00:00"/>
    <n v="11"/>
    <s v="No"/>
    <s v="Against Medical Advice"/>
    <s v="Yes"/>
    <x v="1"/>
    <s v="No"/>
    <x v="9"/>
    <x v="9"/>
    <x v="2"/>
  </r>
  <r>
    <s v="E0031"/>
    <s v="P0031"/>
    <s v="H001"/>
    <n v="48"/>
    <x v="3"/>
    <s v="Male"/>
    <x v="0"/>
    <x v="0"/>
    <d v="2026-02-10T00:00:00"/>
    <d v="2026-02-18T00:00:00"/>
    <n v="8"/>
    <s v="Yes"/>
    <s v="Home"/>
    <s v="Yes"/>
    <x v="1"/>
    <s v="No"/>
    <x v="0"/>
    <x v="0"/>
    <x v="0"/>
  </r>
  <r>
    <s v="E0032"/>
    <s v="P0032"/>
    <s v="H002"/>
    <n v="66"/>
    <x v="1"/>
    <s v="Female"/>
    <x v="1"/>
    <x v="1"/>
    <d v="2026-02-27T00:00:00"/>
    <d v="2026-03-03T00:00:00"/>
    <n v="4"/>
    <s v="No"/>
    <s v="Rehabilitation"/>
    <s v="Yes"/>
    <x v="1"/>
    <s v="No"/>
    <x v="1"/>
    <x v="1"/>
    <x v="0"/>
  </r>
  <r>
    <s v="E0033"/>
    <s v="P0033"/>
    <s v="H003"/>
    <n v="19"/>
    <x v="4"/>
    <s v="Male"/>
    <x v="2"/>
    <x v="0"/>
    <d v="2026-02-22T00:00:00"/>
    <d v="2026-02-23T00:00:00"/>
    <n v="1"/>
    <s v="Yes"/>
    <s v="Another Hospital"/>
    <s v="Yes"/>
    <x v="1"/>
    <s v="No"/>
    <x v="2"/>
    <x v="2"/>
    <x v="1"/>
  </r>
  <r>
    <s v="E0034"/>
    <s v="P0034"/>
    <s v="H004"/>
    <n v="27"/>
    <x v="4"/>
    <s v="Female"/>
    <x v="3"/>
    <x v="1"/>
    <d v="2026-03-21T00:00:00"/>
    <d v="2026-03-28T00:00:00"/>
    <n v="7"/>
    <s v="No"/>
    <s v="Nursing Facility"/>
    <s v="Yes"/>
    <x v="1"/>
    <s v="No"/>
    <x v="3"/>
    <x v="3"/>
    <x v="0"/>
  </r>
  <r>
    <s v="E0035"/>
    <s v="P0035"/>
    <s v="H005"/>
    <n v="70"/>
    <x v="1"/>
    <s v="Male"/>
    <x v="4"/>
    <x v="0"/>
    <d v="2026-03-14T00:00:00"/>
    <d v="2026-03-24T00:00:00"/>
    <n v="10"/>
    <s v="No"/>
    <s v="Against Medical Advice"/>
    <s v="Yes"/>
    <x v="1"/>
    <s v="No"/>
    <x v="4"/>
    <x v="4"/>
    <x v="0"/>
  </r>
  <r>
    <s v="E0036"/>
    <s v="P0036"/>
    <s v="H006"/>
    <n v="38"/>
    <x v="0"/>
    <s v="Female"/>
    <x v="5"/>
    <x v="1"/>
    <d v="2026-01-04T00:00:00"/>
    <d v="2026-01-06T00:00:00"/>
    <n v="2"/>
    <s v="No"/>
    <s v="Home"/>
    <s v="Yes"/>
    <x v="1"/>
    <s v="Yes"/>
    <x v="5"/>
    <x v="5"/>
    <x v="0"/>
  </r>
  <r>
    <s v="E0037"/>
    <s v="P0037"/>
    <s v="H007"/>
    <n v="26"/>
    <x v="4"/>
    <s v="Male"/>
    <x v="0"/>
    <x v="0"/>
    <d v="2026-03-25T00:00:00"/>
    <d v="2026-03-30T00:00:00"/>
    <n v="5"/>
    <s v="Yes"/>
    <s v="Rehabilitation"/>
    <s v="Yes"/>
    <x v="1"/>
    <s v="Yes"/>
    <x v="6"/>
    <x v="6"/>
    <x v="1"/>
  </r>
  <r>
    <s v="E0038"/>
    <s v="P0038"/>
    <s v="H008"/>
    <n v="87"/>
    <x v="2"/>
    <s v="Female"/>
    <x v="1"/>
    <x v="1"/>
    <d v="2026-02-26T00:00:00"/>
    <d v="2026-03-02T00:00:00"/>
    <n v="4"/>
    <s v="No"/>
    <s v="Another Hospital"/>
    <s v="Yes"/>
    <x v="1"/>
    <s v="Yes"/>
    <x v="7"/>
    <x v="7"/>
    <x v="0"/>
  </r>
  <r>
    <s v="E0039"/>
    <s v="P0039"/>
    <s v="H009"/>
    <n v="67"/>
    <x v="1"/>
    <s v="Male"/>
    <x v="2"/>
    <x v="0"/>
    <d v="2026-02-22T00:00:00"/>
    <d v="2026-03-03T00:00:00"/>
    <n v="9"/>
    <s v="No"/>
    <s v="Nursing Facility"/>
    <s v="Yes"/>
    <x v="1"/>
    <s v="No"/>
    <x v="8"/>
    <x v="8"/>
    <x v="1"/>
  </r>
  <r>
    <s v="E0040"/>
    <s v="P0040"/>
    <s v="H010"/>
    <n v="64"/>
    <x v="1"/>
    <s v="Female"/>
    <x v="3"/>
    <x v="1"/>
    <d v="2026-02-10T00:00:00"/>
    <d v="2026-02-13T00:00:00"/>
    <n v="3"/>
    <s v="No"/>
    <s v="Against Medical Advice"/>
    <s v="Yes"/>
    <x v="1"/>
    <s v="Yes"/>
    <x v="9"/>
    <x v="9"/>
    <x v="2"/>
  </r>
  <r>
    <s v="E0041"/>
    <s v="P0041"/>
    <s v="H001"/>
    <n v="67"/>
    <x v="1"/>
    <s v="Male"/>
    <x v="4"/>
    <x v="0"/>
    <d v="2026-01-23T00:00:00"/>
    <d v="2026-01-30T00:00:00"/>
    <n v="7"/>
    <s v="Yes"/>
    <s v="Home"/>
    <s v="Yes"/>
    <x v="0"/>
    <s v="Yes"/>
    <x v="0"/>
    <x v="0"/>
    <x v="0"/>
  </r>
  <r>
    <s v="E0042"/>
    <s v="P0042"/>
    <s v="H002"/>
    <n v="24"/>
    <x v="4"/>
    <s v="Female"/>
    <x v="5"/>
    <x v="1"/>
    <d v="2026-03-19T00:00:00"/>
    <d v="2026-03-23T00:00:00"/>
    <n v="4"/>
    <s v="No"/>
    <s v="Rehabilitation"/>
    <s v="Yes"/>
    <x v="1"/>
    <s v="Yes"/>
    <x v="1"/>
    <x v="1"/>
    <x v="0"/>
  </r>
  <r>
    <s v="E0043"/>
    <s v="P0043"/>
    <s v="H003"/>
    <n v="80"/>
    <x v="2"/>
    <s v="Male"/>
    <x v="0"/>
    <x v="0"/>
    <d v="2026-03-13T00:00:00"/>
    <d v="2026-03-19T00:00:00"/>
    <n v="6"/>
    <s v="No"/>
    <s v="Another Hospital"/>
    <s v="Yes"/>
    <x v="1"/>
    <s v="Yes"/>
    <x v="2"/>
    <x v="2"/>
    <x v="1"/>
  </r>
  <r>
    <s v="E0044"/>
    <s v="P0044"/>
    <s v="H004"/>
    <n v="73"/>
    <x v="1"/>
    <s v="Female"/>
    <x v="1"/>
    <x v="0"/>
    <d v="2026-03-07T00:00:00"/>
    <d v="2026-03-08T00:00:00"/>
    <n v="1"/>
    <s v="No"/>
    <s v="Nursing Facility"/>
    <s v="No"/>
    <x v="1"/>
    <s v="Yes"/>
    <x v="3"/>
    <x v="3"/>
    <x v="0"/>
  </r>
  <r>
    <s v="E0045"/>
    <s v="P0045"/>
    <s v="H005"/>
    <n v="68"/>
    <x v="1"/>
    <s v="Male"/>
    <x v="2"/>
    <x v="0"/>
    <d v="2026-01-08T00:00:00"/>
    <d v="2026-01-20T00:00:00"/>
    <n v="12"/>
    <s v="Yes"/>
    <s v="Against Medical Advice"/>
    <s v="Yes"/>
    <x v="0"/>
    <s v="Yes"/>
    <x v="4"/>
    <x v="4"/>
    <x v="0"/>
  </r>
  <r>
    <s v="E0046"/>
    <s v="P0046"/>
    <s v="H006"/>
    <n v="34"/>
    <x v="0"/>
    <s v="Female"/>
    <x v="3"/>
    <x v="1"/>
    <d v="2026-02-14T00:00:00"/>
    <d v="2026-02-16T00:00:00"/>
    <n v="2"/>
    <s v="No"/>
    <s v="Home"/>
    <s v="Yes"/>
    <x v="1"/>
    <s v="Yes"/>
    <x v="5"/>
    <x v="5"/>
    <x v="0"/>
  </r>
  <r>
    <s v="E0047"/>
    <s v="P0047"/>
    <s v="H007"/>
    <n v="46"/>
    <x v="3"/>
    <s v="Male"/>
    <x v="4"/>
    <x v="0"/>
    <d v="2026-02-28T00:00:00"/>
    <d v="2026-03-03T00:00:00"/>
    <n v="3"/>
    <s v="No"/>
    <s v="Rehabilitation"/>
    <s v="Yes"/>
    <x v="0"/>
    <s v="Yes"/>
    <x v="6"/>
    <x v="6"/>
    <x v="1"/>
  </r>
  <r>
    <s v="E0048"/>
    <s v="P0048"/>
    <s v="H008"/>
    <n v="75"/>
    <x v="2"/>
    <s v="Female"/>
    <x v="5"/>
    <x v="0"/>
    <d v="2026-03-07T00:00:00"/>
    <d v="2026-03-11T00:00:00"/>
    <n v="4"/>
    <s v="No"/>
    <s v="Another Hospital"/>
    <s v="Yes"/>
    <x v="1"/>
    <s v="Yes"/>
    <x v="7"/>
    <x v="7"/>
    <x v="0"/>
  </r>
  <r>
    <s v="E0049"/>
    <s v="P0049"/>
    <s v="H009"/>
    <n v="63"/>
    <x v="1"/>
    <s v="Male"/>
    <x v="0"/>
    <x v="0"/>
    <d v="2026-01-30T00:00:00"/>
    <d v="2026-02-02T00:00:00"/>
    <n v="3"/>
    <s v="No"/>
    <s v="Nursing Facility"/>
    <s v="Yes"/>
    <x v="0"/>
    <s v="Yes"/>
    <x v="8"/>
    <x v="8"/>
    <x v="1"/>
  </r>
  <r>
    <s v="E0050"/>
    <s v="P0050"/>
    <s v="H010"/>
    <n v="39"/>
    <x v="0"/>
    <s v="Female"/>
    <x v="1"/>
    <x v="0"/>
    <d v="2026-01-13T00:00:00"/>
    <d v="2026-01-21T00:00:00"/>
    <n v="8"/>
    <s v="No"/>
    <s v="Against Medical Advice"/>
    <s v="Yes"/>
    <x v="1"/>
    <s v="Yes"/>
    <x v="9"/>
    <x v="9"/>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E0001"/>
    <s v="P0001"/>
    <s v="H001"/>
    <n v="34"/>
    <x v="0"/>
    <s v="Female"/>
    <x v="0"/>
    <s v="Emergency"/>
    <d v="2026-02-21T00:00:00"/>
    <d v="2026-02-22T00:00:00"/>
    <n v="1"/>
    <x v="0"/>
    <s v="Home"/>
    <x v="0"/>
    <x v="0"/>
    <x v="0"/>
    <x v="0"/>
    <s v="Germany"/>
    <x v="0"/>
    <s v="OK"/>
    <s v="Unique"/>
    <s v="General Medicine"/>
    <s v="Female"/>
    <x v="0"/>
    <s v="OK"/>
    <n v="1"/>
    <s v="Match"/>
    <s v="Invalid"/>
    <s v="No Issue"/>
  </r>
  <r>
    <s v="E0002"/>
    <s v="P0002"/>
    <s v="H002"/>
    <n v="72"/>
    <x v="1"/>
    <s v="Male"/>
    <x v="1"/>
    <s v="Planned"/>
    <d v="2026-03-28T00:00:00"/>
    <d v="2026-03-29T00:00:00"/>
    <n v="1"/>
    <x v="1"/>
    <s v="Rehabilitation"/>
    <x v="0"/>
    <x v="1"/>
    <x v="1"/>
    <x v="1"/>
    <s v="Netherland"/>
    <x v="0"/>
    <s v="Review"/>
    <s v="Unique"/>
    <s v=""/>
    <s v="Male"/>
    <x v="1"/>
    <s v="OK"/>
    <n v="1"/>
    <s v="Match"/>
    <s v="Invalid"/>
    <s v="Missing Department"/>
  </r>
  <r>
    <s v="E0003"/>
    <s v="P0003"/>
    <s v="H003"/>
    <n v="89"/>
    <x v="2"/>
    <s v="Male"/>
    <x v="2"/>
    <s v="Emergency"/>
    <d v="2026-01-13T00:00:00"/>
    <d v="2026-01-21T00:00:00"/>
    <n v="8"/>
    <x v="0"/>
    <s v="Another Hospital"/>
    <x v="0"/>
    <x v="1"/>
    <x v="1"/>
    <x v="2"/>
    <s v="Austria"/>
    <x v="1"/>
    <s v="OK"/>
    <s v="Unique"/>
    <s v="Neurology"/>
    <s v="Male"/>
    <x v="0"/>
    <s v="OK"/>
    <n v="8"/>
    <s v="Match"/>
    <s v="Invalid"/>
    <s v="No Issue"/>
  </r>
  <r>
    <s v="E0004"/>
    <s v="P0004"/>
    <s v="H004"/>
    <n v="49"/>
    <x v="3"/>
    <s v="Female"/>
    <x v="3"/>
    <s v="Planned"/>
    <d v="2026-02-25T00:00:00"/>
    <d v="2026-03-02T00:00:00"/>
    <n v="5"/>
    <x v="1"/>
    <s v="Nursing Facility"/>
    <x v="0"/>
    <x v="1"/>
    <x v="1"/>
    <x v="3"/>
    <s v="France"/>
    <x v="0"/>
    <s v="OK"/>
    <s v="Unique"/>
    <s v="Orthopaedics"/>
    <s v="Female"/>
    <x v="1"/>
    <s v="OK"/>
    <n v="5"/>
    <s v="Match"/>
    <s v="Invalid"/>
    <s v="No Issue"/>
  </r>
  <r>
    <s v="E0005"/>
    <s v="P0005"/>
    <s v="H005"/>
    <m/>
    <x v="4"/>
    <s v="Male"/>
    <x v="4"/>
    <s v="Emergency"/>
    <d v="2026-01-28T00:00:00"/>
    <d v="2026-02-04T00:00:00"/>
    <n v="7"/>
    <x v="1"/>
    <s v="Against Medical Advice"/>
    <x v="0"/>
    <x v="1"/>
    <x v="0"/>
    <x v="4"/>
    <s v="Belgium "/>
    <x v="0"/>
    <s v="Review"/>
    <s v="Unique"/>
    <s v="Psychiatry"/>
    <s v="Male"/>
    <x v="0"/>
    <s v="OK"/>
    <n v="7"/>
    <s v="Match"/>
    <s v="Invalid"/>
    <s v="Missing Age"/>
  </r>
  <r>
    <s v="E0006"/>
    <s v="P0006"/>
    <s v="H006"/>
    <n v="37"/>
    <x v="0"/>
    <s v="Female"/>
    <x v="5"/>
    <s v="Planned"/>
    <d v="2026-03-31T00:00:00"/>
    <d v="2026-04-02T00:00:00"/>
    <n v="2"/>
    <x v="1"/>
    <s v="Home"/>
    <x v="0"/>
    <x v="1"/>
    <x v="0"/>
    <x v="5"/>
    <s v="Sweden"/>
    <x v="0"/>
    <s v="OK"/>
    <s v="Unique"/>
    <s v="General Surgery"/>
    <s v="Female"/>
    <x v="1"/>
    <s v="OK"/>
    <n v="2"/>
    <s v="Match"/>
    <s v="Invalid"/>
    <s v="No Issue"/>
  </r>
  <r>
    <s v="E0007"/>
    <s v="P0007"/>
    <s v="H007"/>
    <n v="65"/>
    <x v="1"/>
    <s v="Female"/>
    <x v="6"/>
    <s v="Emergency"/>
    <d v="2026-01-13T00:00:00"/>
    <d v="2026-01-23T00:00:00"/>
    <n v="10"/>
    <x v="1"/>
    <s v="Rehabilitation"/>
    <x v="1"/>
    <x v="0"/>
    <x v="1"/>
    <x v="6"/>
    <s v="Denmark"/>
    <x v="1"/>
    <s v="Review"/>
    <s v="Unique"/>
    <s v="Gen Medicine"/>
    <s v="Female"/>
    <x v="0"/>
    <s v="OK"/>
    <n v="10"/>
    <s v="Match"/>
    <s v="Invalid"/>
    <s v="Missing Documentation"/>
  </r>
  <r>
    <s v="E0008"/>
    <s v="P0008"/>
    <s v="H008"/>
    <n v="44"/>
    <x v="0"/>
    <s v="Male"/>
    <x v="7"/>
    <s v="Planned"/>
    <d v="2026-02-22T00:00:00"/>
    <d v="2026-03-03T00:00:00"/>
    <n v="9"/>
    <x v="1"/>
    <s v="Another Hospital"/>
    <x v="0"/>
    <x v="1"/>
    <x v="0"/>
    <x v="7"/>
    <s v="Finland"/>
    <x v="0"/>
    <s v="OK"/>
    <s v="Unique"/>
    <s v="Cardiology"/>
    <s v="Male"/>
    <x v="1"/>
    <s v="OK"/>
    <n v="9"/>
    <s v="Match"/>
    <s v="Invalid"/>
    <s v="No Issue"/>
  </r>
  <r>
    <s v="E0009"/>
    <s v="P0009"/>
    <s v="H009"/>
    <n v="37"/>
    <x v="0"/>
    <s v="Female"/>
    <x v="2"/>
    <s v="Emergency"/>
    <d v="2026-02-04T00:00:00"/>
    <m/>
    <n v="-46057"/>
    <x v="0"/>
    <s v="Nursing Facility"/>
    <x v="0"/>
    <x v="1"/>
    <x v="1"/>
    <x v="8"/>
    <s v="Spain"/>
    <x v="1"/>
    <s v="Review"/>
    <s v="Unique"/>
    <s v="Neurology"/>
    <s v="Female"/>
    <x v="0"/>
    <s v="Missing Discharge"/>
    <s v=""/>
    <s v="Missing"/>
    <s v="Invalid"/>
    <s v="Invalid LOS"/>
  </r>
  <r>
    <s v="E0010"/>
    <s v="P0010"/>
    <s v="H010"/>
    <n v="39"/>
    <x v="0"/>
    <s v="Male"/>
    <x v="3"/>
    <s v="Emergency"/>
    <d v="2026-03-24T00:00:00"/>
    <d v="2026-03-27T00:00:00"/>
    <n v="3"/>
    <x v="1"/>
    <s v="Against Medical Advice"/>
    <x v="2"/>
    <x v="1"/>
    <x v="1"/>
    <x v="9"/>
    <s v="Italy"/>
    <x v="2"/>
    <s v="OK"/>
    <s v="Unique"/>
    <s v="Orthopaedics"/>
    <s v="Male"/>
    <x v="0"/>
    <s v="OK"/>
    <n v="3"/>
    <s v="Match"/>
    <s v="Invalid"/>
    <s v="No Issue"/>
  </r>
  <r>
    <s v="E0011"/>
    <s v="P0011"/>
    <s v="H001"/>
    <n v="38"/>
    <x v="0"/>
    <s v="Female"/>
    <x v="4"/>
    <s v="Emergency"/>
    <d v="2026-03-22T00:00:00"/>
    <d v="2026-04-02T00:00:00"/>
    <n v="11"/>
    <x v="1"/>
    <s v="Home"/>
    <x v="0"/>
    <x v="1"/>
    <x v="0"/>
    <x v="0"/>
    <s v="Germany"/>
    <x v="0"/>
    <s v="OK"/>
    <s v="Unique"/>
    <s v="Psychiatry"/>
    <s v="Female"/>
    <x v="0"/>
    <s v="OK"/>
    <n v="11"/>
    <s v="Match"/>
    <s v="Invalid"/>
    <s v="No Issue"/>
  </r>
  <r>
    <s v="E0012"/>
    <s v="P0012"/>
    <s v="H002"/>
    <n v="79"/>
    <x v="2"/>
    <s v="Female"/>
    <x v="8"/>
    <s v="Emergency"/>
    <d v="2026-03-26T00:00:00"/>
    <d v="2026-04-07T00:00:00"/>
    <n v="12"/>
    <x v="1"/>
    <s v="Rehabilitation"/>
    <x v="0"/>
    <x v="1"/>
    <x v="1"/>
    <x v="1"/>
    <s v="Netherland"/>
    <x v="0"/>
    <s v="OK"/>
    <s v="Unique"/>
    <s v="General Surgery"/>
    <s v="Female"/>
    <x v="0"/>
    <s v="OK"/>
    <n v="12"/>
    <s v="Match"/>
    <s v="Invalid"/>
    <s v="No Issue"/>
  </r>
  <r>
    <s v="E0013"/>
    <s v="P0013"/>
    <s v="H003"/>
    <m/>
    <x v="4"/>
    <s v="Male"/>
    <x v="1"/>
    <s v="Emergency"/>
    <d v="2026-01-24T00:00:00"/>
    <d v="2026-01-25T00:00:00"/>
    <n v="1"/>
    <x v="0"/>
    <s v="Another Hospital"/>
    <x v="0"/>
    <x v="1"/>
    <x v="1"/>
    <x v="2"/>
    <s v="Austria"/>
    <x v="1"/>
    <s v="Review"/>
    <s v="Unique"/>
    <s v=""/>
    <s v="Male"/>
    <x v="0"/>
    <s v="OK"/>
    <n v="1"/>
    <s v="Match"/>
    <s v="Invalid"/>
    <s v="Missing Age"/>
  </r>
  <r>
    <s v="E0014"/>
    <s v="P0014"/>
    <s v="H004"/>
    <n v="39"/>
    <x v="0"/>
    <s v="Male"/>
    <x v="7"/>
    <s v="Emergency"/>
    <d v="2026-01-28T00:00:00"/>
    <d v="2026-01-31T00:00:00"/>
    <n v="3"/>
    <x v="1"/>
    <s v="Nursing Facility"/>
    <x v="0"/>
    <x v="1"/>
    <x v="1"/>
    <x v="3"/>
    <s v="France"/>
    <x v="0"/>
    <s v="OK"/>
    <s v="Unique"/>
    <s v="Cardiology"/>
    <s v="Male"/>
    <x v="0"/>
    <s v="OK"/>
    <n v="3"/>
    <s v="Match"/>
    <s v="Invalid"/>
    <s v="No Issue"/>
  </r>
  <r>
    <s v="E0015"/>
    <s v="P0015"/>
    <s v="H005"/>
    <n v="41"/>
    <x v="0"/>
    <s v="Female"/>
    <x v="2"/>
    <s v="Emergency"/>
    <d v="2026-03-09T00:00:00"/>
    <d v="2026-03-12T00:00:00"/>
    <n v="3"/>
    <x v="1"/>
    <s v="Against Medical Advice"/>
    <x v="0"/>
    <x v="0"/>
    <x v="1"/>
    <x v="4"/>
    <s v="Belgium "/>
    <x v="0"/>
    <s v="OK"/>
    <s v="Duplicate"/>
    <s v="Neurology"/>
    <s v="Female"/>
    <x v="0"/>
    <s v="OK"/>
    <n v="3"/>
    <s v="Match"/>
    <s v="Invalid"/>
    <s v="Duplicate Encounter"/>
  </r>
  <r>
    <s v="E0016"/>
    <s v="P0016"/>
    <s v="H006"/>
    <n v="85"/>
    <x v="2"/>
    <s v="Male"/>
    <x v="3"/>
    <s v="Planned"/>
    <d v="2026-03-03T00:00:00"/>
    <d v="2026-03-12T00:00:00"/>
    <n v="9"/>
    <x v="1"/>
    <s v="Home"/>
    <x v="0"/>
    <x v="1"/>
    <x v="1"/>
    <x v="5"/>
    <s v="Sweden"/>
    <x v="0"/>
    <s v="OK"/>
    <s v="Unique"/>
    <s v="Orthopaedics"/>
    <s v="Male"/>
    <x v="1"/>
    <s v="OK"/>
    <n v="9"/>
    <s v="Match"/>
    <s v="Invalid"/>
    <s v="No Issue"/>
  </r>
  <r>
    <s v="E0017"/>
    <s v="P0017"/>
    <s v="H007"/>
    <n v="40"/>
    <x v="0"/>
    <s v="Female"/>
    <x v="4"/>
    <s v="Emergency"/>
    <d v="2026-01-22T00:00:00"/>
    <d v="2026-01-24T00:00:00"/>
    <n v="2"/>
    <x v="0"/>
    <s v="Rehabilitation"/>
    <x v="0"/>
    <x v="1"/>
    <x v="0"/>
    <x v="6"/>
    <s v="Denmark"/>
    <x v="1"/>
    <s v="OK"/>
    <s v="Unique"/>
    <s v="Psychiatry"/>
    <s v="Female"/>
    <x v="0"/>
    <s v="OK"/>
    <n v="2"/>
    <s v="Match"/>
    <s v="Invalid"/>
    <s v="No Issue"/>
  </r>
  <r>
    <s v="E0018"/>
    <s v="P0018"/>
    <s v="H008"/>
    <n v="72"/>
    <x v="1"/>
    <s v="Male"/>
    <x v="8"/>
    <s v="Planned"/>
    <d v="2026-01-22T00:00:00"/>
    <d v="2026-01-30T00:00:00"/>
    <n v="8"/>
    <x v="1"/>
    <s v="Another Hospital"/>
    <x v="1"/>
    <x v="1"/>
    <x v="0"/>
    <x v="7"/>
    <s v="Finland"/>
    <x v="0"/>
    <s v="Review"/>
    <s v="Unique"/>
    <s v="General Surgery"/>
    <s v="Male"/>
    <x v="1"/>
    <s v="OK"/>
    <n v="8"/>
    <s v="Match"/>
    <s v="Invalid"/>
    <s v="Missing Documentation"/>
  </r>
  <r>
    <s v="E0019"/>
    <s v="P0019"/>
    <s v="H009"/>
    <n v="81"/>
    <x v="2"/>
    <s v="Female"/>
    <x v="9"/>
    <s v="Emergency"/>
    <d v="2026-03-24T00:00:00"/>
    <d v="2026-03-31T00:00:00"/>
    <n v="7"/>
    <x v="1"/>
    <s v="Nursing Facility"/>
    <x v="0"/>
    <x v="1"/>
    <x v="1"/>
    <x v="8"/>
    <s v="Spain"/>
    <x v="1"/>
    <s v="OK"/>
    <s v="Unique"/>
    <s v="General Medicine"/>
    <s v="Female"/>
    <x v="0"/>
    <s v="OK"/>
    <n v="7"/>
    <s v="Match"/>
    <s v="Invalid"/>
    <s v="No Issue"/>
  </r>
  <r>
    <s v="E0020"/>
    <s v="P0020"/>
    <s v="H010"/>
    <n v="69"/>
    <x v="1"/>
    <s v="Male"/>
    <x v="7"/>
    <s v="Emergency"/>
    <d v="2026-03-15T00:00:00"/>
    <d v="2026-03-25T00:00:00"/>
    <n v="-4"/>
    <x v="1"/>
    <s v="Against Medical Advice"/>
    <x v="0"/>
    <x v="1"/>
    <x v="1"/>
    <x v="9"/>
    <s v="Italy"/>
    <x v="2"/>
    <s v="Review"/>
    <s v="Unique"/>
    <s v="Cardiology"/>
    <s v="Male"/>
    <x v="0"/>
    <s v="OK"/>
    <n v="10"/>
    <s v="Mismatch"/>
    <s v="Invalid"/>
    <s v="Invalid LOS"/>
  </r>
  <r>
    <s v="E0021"/>
    <s v="P0021"/>
    <s v="H001"/>
    <n v="63"/>
    <x v="1"/>
    <s v="Male"/>
    <x v="2"/>
    <s v="Emergency"/>
    <d v="2026-03-31T00:00:00"/>
    <d v="2026-04-01T00:00:00"/>
    <n v="1"/>
    <x v="0"/>
    <s v="Home"/>
    <x v="0"/>
    <x v="0"/>
    <x v="1"/>
    <x v="0"/>
    <s v="Germany"/>
    <x v="0"/>
    <s v="OK"/>
    <s v="Unique"/>
    <s v="Neurology"/>
    <s v="Male"/>
    <x v="0"/>
    <s v="OK"/>
    <n v="1"/>
    <s v="Match"/>
    <s v="Invalid"/>
    <s v="No Issue"/>
  </r>
  <r>
    <s v="E0022"/>
    <s v="P0022"/>
    <s v="H002"/>
    <n v="56"/>
    <x v="3"/>
    <s v="Female"/>
    <x v="3"/>
    <s v="Planned"/>
    <d v="2026-03-12T00:00:00"/>
    <d v="2026-03-18T00:00:00"/>
    <n v="6"/>
    <x v="1"/>
    <s v="Rehabilitation"/>
    <x v="0"/>
    <x v="1"/>
    <x v="1"/>
    <x v="1"/>
    <s v="Netherland"/>
    <x v="0"/>
    <s v="OK"/>
    <s v="Unique"/>
    <s v="Orthopaedics"/>
    <s v="Female"/>
    <x v="1"/>
    <s v="OK"/>
    <n v="6"/>
    <s v="Match"/>
    <s v="Invalid"/>
    <s v="No Issue"/>
  </r>
  <r>
    <s v="E0023"/>
    <s v="P0023"/>
    <s v="H003"/>
    <n v="85"/>
    <x v="2"/>
    <s v="Female"/>
    <x v="4"/>
    <s v="Emergency"/>
    <d v="2026-01-03T00:00:00"/>
    <d v="2026-01-06T00:00:00"/>
    <n v="3"/>
    <x v="1"/>
    <s v="Another Hospital"/>
    <x v="0"/>
    <x v="1"/>
    <x v="1"/>
    <x v="2"/>
    <s v="Austria"/>
    <x v="1"/>
    <s v="OK"/>
    <s v="Unique"/>
    <s v="Psychiatry"/>
    <s v="Female"/>
    <x v="0"/>
    <s v="OK"/>
    <n v="3"/>
    <s v="Match"/>
    <s v="Invalid"/>
    <s v="No Issue"/>
  </r>
  <r>
    <s v="E0024"/>
    <s v="P0024"/>
    <s v="H004"/>
    <n v="49"/>
    <x v="3"/>
    <s v="Male"/>
    <x v="8"/>
    <s v="Planned"/>
    <d v="2026-02-18T00:00:00"/>
    <d v="2026-02-20T00:00:00"/>
    <n v="2"/>
    <x v="1"/>
    <s v="Nursing Facility"/>
    <x v="2"/>
    <x v="1"/>
    <x v="1"/>
    <x v="3"/>
    <s v="France"/>
    <x v="0"/>
    <s v="OK"/>
    <s v="Unique"/>
    <s v="General Surgery"/>
    <s v="Male"/>
    <x v="1"/>
    <s v="OK"/>
    <n v="2"/>
    <s v="Match"/>
    <s v="Invalid"/>
    <s v="No Issue"/>
  </r>
  <r>
    <s v="E0025"/>
    <s v="P0025"/>
    <s v="H005"/>
    <n v="25"/>
    <x v="4"/>
    <s v="Female"/>
    <x v="0"/>
    <s v="Emergency"/>
    <d v="2026-03-19T00:00:00"/>
    <d v="2026-03-25T00:00:00"/>
    <n v="6"/>
    <x v="1"/>
    <s v="Against Medical Advice"/>
    <x v="0"/>
    <x v="1"/>
    <x v="1"/>
    <x v="4"/>
    <s v="Belgium "/>
    <x v="0"/>
    <s v="OK"/>
    <s v="Unique"/>
    <s v="General Medicine"/>
    <s v="Female"/>
    <x v="0"/>
    <s v="OK"/>
    <n v="6"/>
    <s v="Match"/>
    <s v="Invalid"/>
    <s v="No Issue"/>
  </r>
  <r>
    <s v="E0026"/>
    <s v="P0026"/>
    <s v="H006"/>
    <n v="45"/>
    <x v="3"/>
    <s v="Male"/>
    <x v="10"/>
    <s v="Planned"/>
    <d v="2026-01-19T00:00:00"/>
    <d v="2026-01-24T00:00:00"/>
    <n v="5"/>
    <x v="1"/>
    <s v="Home"/>
    <x v="0"/>
    <x v="1"/>
    <x v="0"/>
    <x v="5"/>
    <s v="Sweden"/>
    <x v="0"/>
    <s v="OK"/>
    <s v="Unique"/>
    <s v="Cardiology"/>
    <s v="Male"/>
    <x v="1"/>
    <s v="OK"/>
    <n v="5"/>
    <s v="Match"/>
    <s v="Invalid"/>
    <s v="No Issue"/>
  </r>
  <r>
    <s v="E0027"/>
    <s v="P0027"/>
    <s v="H007"/>
    <n v="48"/>
    <x v="3"/>
    <s v="Female"/>
    <x v="2"/>
    <s v="Emergency"/>
    <d v="2026-02-26T00:00:00"/>
    <d v="2026-03-10T00:00:00"/>
    <n v="12"/>
    <x v="0"/>
    <s v="Rehabilitation"/>
    <x v="0"/>
    <x v="0"/>
    <x v="0"/>
    <x v="6"/>
    <s v="Denmark"/>
    <x v="1"/>
    <s v="OK"/>
    <s v="Unique"/>
    <s v="Neurology"/>
    <s v="Female"/>
    <x v="0"/>
    <s v="OK"/>
    <n v="12"/>
    <s v="Match"/>
    <s v="Invalid"/>
    <s v="No Issue"/>
  </r>
  <r>
    <s v="E0028"/>
    <s v="P0028"/>
    <s v="H008"/>
    <n v="53"/>
    <x v="3"/>
    <s v="Female"/>
    <x v="3"/>
    <s v="Planned"/>
    <d v="2026-01-30T00:00:00"/>
    <d v="2026-02-04T00:00:00"/>
    <n v="5"/>
    <x v="1"/>
    <s v="Another Hospital"/>
    <x v="0"/>
    <x v="1"/>
    <x v="1"/>
    <x v="7"/>
    <s v="Finland"/>
    <x v="0"/>
    <s v="OK"/>
    <s v="Unique"/>
    <s v="Orthopaedics"/>
    <s v="Female"/>
    <x v="1"/>
    <s v="OK"/>
    <n v="5"/>
    <s v="Match"/>
    <s v="Invalid"/>
    <s v="No Issue"/>
  </r>
  <r>
    <s v="E0029"/>
    <s v="P0029"/>
    <s v="H009"/>
    <n v="41"/>
    <x v="0"/>
    <s v="Male"/>
    <x v="4"/>
    <s v="Emergency"/>
    <d v="2026-03-06T00:00:00"/>
    <d v="2026-03-08T00:00:00"/>
    <n v="2"/>
    <x v="1"/>
    <s v="Nursing Facility"/>
    <x v="0"/>
    <x v="1"/>
    <x v="1"/>
    <x v="8"/>
    <s v="Spain"/>
    <x v="1"/>
    <s v="OK"/>
    <s v="Unique"/>
    <s v="Psychiatry"/>
    <s v="Male"/>
    <x v="0"/>
    <s v="OK"/>
    <n v="2"/>
    <s v="Match"/>
    <s v="Invalid"/>
    <s v="No Issue"/>
  </r>
  <r>
    <s v="E0030"/>
    <s v="P0030"/>
    <s v="H010"/>
    <n v="26"/>
    <x v="4"/>
    <s v="Female"/>
    <x v="8"/>
    <s v="Planned"/>
    <d v="2026-02-15T00:00:00"/>
    <d v="2026-02-19T00:00:00"/>
    <n v="4"/>
    <x v="1"/>
    <s v="Against Medical Advice"/>
    <x v="0"/>
    <x v="1"/>
    <x v="1"/>
    <x v="9"/>
    <s v="Italy"/>
    <x v="2"/>
    <s v="OK"/>
    <s v="Unique"/>
    <s v="General Surgery"/>
    <s v="Female"/>
    <x v="1"/>
    <s v="OK"/>
    <n v="4"/>
    <s v="Match"/>
    <s v="Invalid"/>
    <s v="No Issue"/>
  </r>
  <r>
    <s v="E0031"/>
    <s v="P0031"/>
    <s v="H001"/>
    <n v="48"/>
    <x v="3"/>
    <s v="Male"/>
    <x v="0"/>
    <s v="Emergency"/>
    <d v="2026-02-10T00:00:00"/>
    <d v="2026-02-15T00:00:00"/>
    <n v="5"/>
    <x v="0"/>
    <s v="Home"/>
    <x v="0"/>
    <x v="1"/>
    <x v="1"/>
    <x v="0"/>
    <s v="Germany"/>
    <x v="0"/>
    <s v="OK"/>
    <s v="Unique"/>
    <s v="General Medicine"/>
    <s v="Male"/>
    <x v="0"/>
    <s v="OK"/>
    <n v="5"/>
    <s v="Match"/>
    <s v="Invalid"/>
    <s v="No Issue"/>
  </r>
  <r>
    <s v="E0032"/>
    <s v="P0032"/>
    <s v="H002"/>
    <n v="66"/>
    <x v="1"/>
    <s v="Female"/>
    <x v="7"/>
    <s v="Planned"/>
    <d v="2026-02-27T00:00:00"/>
    <d v="2026-03-09T00:00:00"/>
    <n v="10"/>
    <x v="1"/>
    <s v="Rehabilitation"/>
    <x v="0"/>
    <x v="1"/>
    <x v="1"/>
    <x v="1"/>
    <s v="Netherland"/>
    <x v="0"/>
    <s v="OK"/>
    <s v="Unique"/>
    <s v="Cardiology"/>
    <s v="Female"/>
    <x v="1"/>
    <s v="OK"/>
    <n v="10"/>
    <s v="Match"/>
    <s v="Invalid"/>
    <s v="No Issue"/>
  </r>
  <r>
    <s v="E0033"/>
    <s v="P0033"/>
    <s v="H003"/>
    <n v="19"/>
    <x v="4"/>
    <s v="Male"/>
    <x v="2"/>
    <s v="Emergency"/>
    <d v="2026-02-22T00:00:00"/>
    <d v="2026-02-24T00:00:00"/>
    <n v="2"/>
    <x v="0"/>
    <s v="Another Hospital"/>
    <x v="0"/>
    <x v="1"/>
    <x v="1"/>
    <x v="2"/>
    <s v="Austria"/>
    <x v="1"/>
    <s v="OK"/>
    <s v="Unique"/>
    <s v="Neurology"/>
    <s v="Male"/>
    <x v="0"/>
    <s v="OK"/>
    <n v="2"/>
    <s v="Match"/>
    <s v="Invalid"/>
    <s v="No Issue"/>
  </r>
  <r>
    <s v="E0034"/>
    <s v="P0034"/>
    <s v="H004"/>
    <n v="27"/>
    <x v="4"/>
    <s v="Female"/>
    <x v="3"/>
    <s v="Planned"/>
    <d v="2026-03-21T00:00:00"/>
    <d v="2026-03-28T00:00:00"/>
    <n v="7"/>
    <x v="1"/>
    <s v="Nursing Facility"/>
    <x v="0"/>
    <x v="1"/>
    <x v="1"/>
    <x v="3"/>
    <s v="France"/>
    <x v="0"/>
    <s v="OK"/>
    <s v="Unique"/>
    <s v="Orthopaedics"/>
    <s v="Female"/>
    <x v="1"/>
    <s v="OK"/>
    <n v="7"/>
    <s v="Match"/>
    <s v="Invalid"/>
    <s v="No Issue"/>
  </r>
  <r>
    <s v="E0035"/>
    <s v="P0035"/>
    <s v="H005"/>
    <n v="70"/>
    <x v="1"/>
    <s v="Male"/>
    <x v="4"/>
    <s v="Emergency"/>
    <d v="2026-03-14T00:00:00"/>
    <d v="2026-03-22T00:00:00"/>
    <n v="8"/>
    <x v="1"/>
    <s v="Against Medical Advice"/>
    <x v="0"/>
    <x v="1"/>
    <x v="1"/>
    <x v="4"/>
    <s v="Belgium "/>
    <x v="0"/>
    <s v="OK"/>
    <s v="Unique"/>
    <s v="Psychiatry"/>
    <s v="Male"/>
    <x v="0"/>
    <s v="OK"/>
    <n v="8"/>
    <s v="Match"/>
    <s v="Invalid"/>
    <s v="No Issue"/>
  </r>
  <r>
    <s v="E0036"/>
    <s v="P0036"/>
    <s v="H006"/>
    <n v="38"/>
    <x v="0"/>
    <s v="Female"/>
    <x v="8"/>
    <s v="Planned"/>
    <d v="2026-01-04T00:00:00"/>
    <d v="2026-01-07T00:00:00"/>
    <n v="3"/>
    <x v="1"/>
    <s v="Home"/>
    <x v="0"/>
    <x v="1"/>
    <x v="0"/>
    <x v="5"/>
    <s v="Sweden"/>
    <x v="0"/>
    <s v="OK"/>
    <s v="Unique"/>
    <s v="General Surgery"/>
    <s v="Female"/>
    <x v="1"/>
    <s v="OK"/>
    <n v="3"/>
    <s v="Match"/>
    <s v="Invalid"/>
    <s v="No Issue"/>
  </r>
  <r>
    <s v="E0037"/>
    <s v="P0037"/>
    <s v="H007"/>
    <n v="26"/>
    <x v="4"/>
    <s v="Male"/>
    <x v="0"/>
    <s v="Emergency"/>
    <d v="2026-03-25T00:00:00"/>
    <d v="2026-04-02T00:00:00"/>
    <n v="8"/>
    <x v="0"/>
    <s v="Rehabilitation"/>
    <x v="0"/>
    <x v="1"/>
    <x v="0"/>
    <x v="6"/>
    <s v="Denmark"/>
    <x v="1"/>
    <s v="OK"/>
    <s v="Unique"/>
    <s v="General Medicine"/>
    <s v="Male"/>
    <x v="0"/>
    <s v="OK"/>
    <n v="8"/>
    <s v="Match"/>
    <s v="Invalid"/>
    <s v="No Issue"/>
  </r>
  <r>
    <s v="E0038"/>
    <s v="P0038"/>
    <s v="H008"/>
    <n v="87"/>
    <x v="2"/>
    <s v="Female"/>
    <x v="7"/>
    <s v="Planned"/>
    <d v="2026-02-26T00:00:00"/>
    <d v="2026-03-03T00:00:00"/>
    <n v="5"/>
    <x v="1"/>
    <s v="Another Hospital"/>
    <x v="0"/>
    <x v="1"/>
    <x v="0"/>
    <x v="7"/>
    <s v="Finland"/>
    <x v="0"/>
    <s v="OK"/>
    <s v="Unique"/>
    <s v="Cardiology"/>
    <s v="Female"/>
    <x v="1"/>
    <s v="OK"/>
    <n v="5"/>
    <s v="Match"/>
    <s v="Invalid"/>
    <s v="No Issue"/>
  </r>
  <r>
    <s v="E0039"/>
    <s v="P0039"/>
    <s v="H009"/>
    <n v="67"/>
    <x v="1"/>
    <s v="Male"/>
    <x v="2"/>
    <s v="Emergency"/>
    <d v="2026-02-22T00:00:00"/>
    <d v="2026-03-05T00:00:00"/>
    <n v="11"/>
    <x v="1"/>
    <s v="Nursing Facility"/>
    <x v="0"/>
    <x v="1"/>
    <x v="1"/>
    <x v="8"/>
    <s v="Spain"/>
    <x v="1"/>
    <s v="OK"/>
    <s v="Unique"/>
    <s v="Neurology"/>
    <s v="Male"/>
    <x v="0"/>
    <s v="OK"/>
    <n v="11"/>
    <s v="Match"/>
    <s v="Invalid"/>
    <s v="No Issue"/>
  </r>
  <r>
    <s v="E0040"/>
    <s v="P0040"/>
    <s v="H010"/>
    <n v="64"/>
    <x v="1"/>
    <s v="Female"/>
    <x v="3"/>
    <s v="Planned"/>
    <d v="2026-02-10T00:00:00"/>
    <d v="2026-02-14T00:00:00"/>
    <n v="4"/>
    <x v="1"/>
    <s v="Against Medical Advice"/>
    <x v="0"/>
    <x v="1"/>
    <x v="0"/>
    <x v="9"/>
    <s v="Italy"/>
    <x v="2"/>
    <s v="OK"/>
    <s v="Unique"/>
    <s v="Orthopaedics"/>
    <s v="Female"/>
    <x v="1"/>
    <s v="OK"/>
    <n v="4"/>
    <s v="Match"/>
    <s v="Invalid"/>
    <s v="No Issue"/>
  </r>
  <r>
    <s v="E0041"/>
    <s v="P0041"/>
    <s v="H001"/>
    <n v="67"/>
    <x v="1"/>
    <s v="Male"/>
    <x v="4"/>
    <s v="Emergency"/>
    <d v="2026-01-23T00:00:00"/>
    <d v="2026-02-04T00:00:00"/>
    <n v="12"/>
    <x v="0"/>
    <s v="Home"/>
    <x v="0"/>
    <x v="0"/>
    <x v="0"/>
    <x v="0"/>
    <s v="Germany"/>
    <x v="0"/>
    <s v="OK"/>
    <s v="Unique"/>
    <s v="Psychiatry"/>
    <s v="Male"/>
    <x v="0"/>
    <s v="OK"/>
    <n v="12"/>
    <s v="Match"/>
    <s v="Invalid"/>
    <s v="No Issue"/>
  </r>
  <r>
    <s v="E0042"/>
    <s v="P0042"/>
    <s v="H002"/>
    <n v="-3"/>
    <x v="4"/>
    <s v="Female"/>
    <x v="8"/>
    <s v="Planned"/>
    <d v="2026-03-19T00:00:00"/>
    <d v="2026-03-25T00:00:00"/>
    <n v="6"/>
    <x v="1"/>
    <s v="Rehabilitation"/>
    <x v="0"/>
    <x v="1"/>
    <x v="0"/>
    <x v="1"/>
    <s v="Netherland"/>
    <x v="0"/>
    <s v="Review"/>
    <s v="Unique"/>
    <s v="General Surgery"/>
    <s v="Female"/>
    <x v="1"/>
    <s v="OK"/>
    <n v="6"/>
    <s v="Match"/>
    <s v="Invalid"/>
    <s v="Invalid Age"/>
  </r>
  <r>
    <s v="E0043"/>
    <s v="P0043"/>
    <s v="H003"/>
    <n v="80"/>
    <x v="2"/>
    <s v="Male"/>
    <x v="0"/>
    <s v="Emergency"/>
    <d v="2026-03-13T00:00:00"/>
    <d v="2026-03-14T00:00:00"/>
    <n v="1"/>
    <x v="1"/>
    <s v="Another Hospital"/>
    <x v="0"/>
    <x v="1"/>
    <x v="0"/>
    <x v="2"/>
    <s v="Austria"/>
    <x v="1"/>
    <s v="OK"/>
    <s v="Unique"/>
    <s v="General Medicine"/>
    <s v="Male"/>
    <x v="0"/>
    <s v="OK"/>
    <n v="1"/>
    <s v="Match"/>
    <s v="Invalid"/>
    <s v="No Issue"/>
  </r>
  <r>
    <s v="E0044"/>
    <s v="P0044"/>
    <s v="H004"/>
    <n v="73"/>
    <x v="1"/>
    <s v="Female"/>
    <x v="7"/>
    <s v="Emergency"/>
    <d v="2026-03-07T00:00:00"/>
    <d v="2026-03-17T00:00:00"/>
    <n v="10"/>
    <x v="1"/>
    <s v="Nursing Facility"/>
    <x v="2"/>
    <x v="1"/>
    <x v="0"/>
    <x v="3"/>
    <s v="France"/>
    <x v="0"/>
    <s v="OK"/>
    <s v="Unique"/>
    <s v="Cardiology"/>
    <s v="Female"/>
    <x v="0"/>
    <s v="OK"/>
    <n v="10"/>
    <s v="Match"/>
    <s v="Invalid"/>
    <s v="No Issue"/>
  </r>
  <r>
    <s v="E0045"/>
    <s v="P0045"/>
    <s v="H005"/>
    <n v="68"/>
    <x v="1"/>
    <s v="Male"/>
    <x v="2"/>
    <s v="Emergency"/>
    <d v="2026-01-08T00:00:00"/>
    <d v="2026-01-12T00:00:00"/>
    <n v="4"/>
    <x v="0"/>
    <s v="Against Medical Advice"/>
    <x v="0"/>
    <x v="0"/>
    <x v="0"/>
    <x v="4"/>
    <s v="Belgium "/>
    <x v="0"/>
    <s v="OK"/>
    <s v="Unique"/>
    <s v="Neurology"/>
    <s v="Male"/>
    <x v="0"/>
    <s v="OK"/>
    <n v="4"/>
    <s v="Match"/>
    <s v="Invalid"/>
    <s v="No Issue"/>
  </r>
  <r>
    <s v="E0046"/>
    <s v="P0046"/>
    <s v="H006"/>
    <n v="145"/>
    <x v="2"/>
    <s v="Female"/>
    <x v="3"/>
    <s v="Planned"/>
    <d v="2026-02-14T00:00:00"/>
    <d v="2026-02-21T00:00:00"/>
    <n v="7"/>
    <x v="1"/>
    <s v="Home"/>
    <x v="0"/>
    <x v="1"/>
    <x v="0"/>
    <x v="5"/>
    <s v="Sweden"/>
    <x v="0"/>
    <s v="Review"/>
    <s v="Unique"/>
    <s v="Orthopaedics"/>
    <s v="Female"/>
    <x v="1"/>
    <s v="OK"/>
    <n v="7"/>
    <s v="Match"/>
    <s v="Invalid"/>
    <s v="Invalid Age"/>
  </r>
  <r>
    <s v="E0047"/>
    <s v="P0047"/>
    <s v="H007"/>
    <n v="46"/>
    <x v="3"/>
    <s v="Male"/>
    <x v="4"/>
    <s v="Emergency"/>
    <d v="2026-02-28T00:00:00"/>
    <d v="2026-03-01T00:00:00"/>
    <n v="1"/>
    <x v="1"/>
    <s v="Rehabilitation"/>
    <x v="0"/>
    <x v="0"/>
    <x v="0"/>
    <x v="6"/>
    <s v="Denmark"/>
    <x v="1"/>
    <s v="OK"/>
    <s v="Unique"/>
    <s v="Psychiatry"/>
    <s v="Male"/>
    <x v="0"/>
    <s v="OK"/>
    <n v="1"/>
    <s v="Match"/>
    <s v="Invalid"/>
    <s v="No Issue"/>
  </r>
  <r>
    <s v="E0048"/>
    <s v="P0048"/>
    <s v="H008"/>
    <n v="75"/>
    <x v="2"/>
    <s v="Female"/>
    <x v="8"/>
    <s v="EMERG"/>
    <d v="2026-03-07T00:00:00"/>
    <d v="2026-03-10T00:00:00"/>
    <n v="3"/>
    <x v="1"/>
    <s v="Another Hospital"/>
    <x v="0"/>
    <x v="1"/>
    <x v="0"/>
    <x v="7"/>
    <s v="Finland"/>
    <x v="0"/>
    <s v="OK"/>
    <s v="Unique"/>
    <s v="General Surgery"/>
    <s v="Female"/>
    <x v="0"/>
    <s v="OK"/>
    <n v="3"/>
    <s v="Match"/>
    <s v="Invalid"/>
    <s v="No Issue"/>
  </r>
  <r>
    <s v="E0049"/>
    <s v="P0049"/>
    <s v="H009"/>
    <n v="63"/>
    <x v="1"/>
    <s v="Male"/>
    <x v="0"/>
    <s v="Emergency"/>
    <d v="2026-01-30T00:00:00"/>
    <d v="2026-02-11T00:00:00"/>
    <n v="12"/>
    <x v="1"/>
    <s v="Nursing Facility"/>
    <x v="0"/>
    <x v="0"/>
    <x v="0"/>
    <x v="8"/>
    <s v="Spain"/>
    <x v="1"/>
    <s v="OK"/>
    <s v="Unique"/>
    <s v="General Medicine"/>
    <s v="Male"/>
    <x v="0"/>
    <s v="OK"/>
    <n v="12"/>
    <s v="Match"/>
    <s v="Invalid"/>
    <s v="No Issue"/>
  </r>
  <r>
    <s v="E0015"/>
    <s v="P0015"/>
    <s v="H005"/>
    <n v="41"/>
    <x v="0"/>
    <s v="Female"/>
    <x v="2"/>
    <s v="Emergency"/>
    <d v="2026-03-09T00:00:00"/>
    <d v="2026-03-13T00:00:00"/>
    <n v="4"/>
    <x v="1"/>
    <s v="Against Medical Advice"/>
    <x v="0"/>
    <x v="0"/>
    <x v="1"/>
    <x v="4"/>
    <s v="Belgium "/>
    <x v="0"/>
    <s v="OK"/>
    <s v="Duplicate"/>
    <s v="Neurology"/>
    <s v="Female"/>
    <x v="0"/>
    <s v="OK"/>
    <n v="4"/>
    <s v="Match"/>
    <s v="Invalid"/>
    <s v="Duplicate Encount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F13FF5-536F-4D03-983F-90C79DBD0C1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9">
    <pivotField dataField="1" showAll="0"/>
    <pivotField showAll="0"/>
    <pivotField showAll="0"/>
    <pivotField showAll="0"/>
    <pivotField showAll="0"/>
    <pivotField showAll="0"/>
    <pivotField showAll="0"/>
    <pivotField showAll="0"/>
    <pivotField numFmtId="15" showAll="0"/>
    <pivotField numFmtId="15" showAll="0"/>
    <pivotField showAll="0"/>
    <pivotField showAll="0"/>
    <pivotField showAll="0"/>
    <pivotField showAll="0"/>
    <pivotField showAll="0"/>
    <pivotField showAll="0"/>
    <pivotField axis="axisRow" showAll="0">
      <items count="11">
        <item x="1"/>
        <item x="8"/>
        <item x="4"/>
        <item x="2"/>
        <item x="6"/>
        <item x="5"/>
        <item x="9"/>
        <item x="0"/>
        <item x="3"/>
        <item x="7"/>
        <item t="default"/>
      </items>
    </pivotField>
    <pivotField showAll="0"/>
    <pivotField showAll="0">
      <items count="4">
        <item x="2"/>
        <item x="1"/>
        <item x="0"/>
        <item t="default"/>
      </items>
    </pivotField>
  </pivotFields>
  <rowFields count="1">
    <field x="16"/>
  </rowFields>
  <rowItems count="11">
    <i>
      <x/>
    </i>
    <i>
      <x v="1"/>
    </i>
    <i>
      <x v="2"/>
    </i>
    <i>
      <x v="3"/>
    </i>
    <i>
      <x v="4"/>
    </i>
    <i>
      <x v="5"/>
    </i>
    <i>
      <x v="6"/>
    </i>
    <i>
      <x v="7"/>
    </i>
    <i>
      <x v="8"/>
    </i>
    <i>
      <x v="9"/>
    </i>
    <i t="grand">
      <x/>
    </i>
  </rowItems>
  <colItems count="1">
    <i/>
  </colItems>
  <dataFields count="1">
    <dataField name="Count of Encounter_ID" fld="0" subtotal="count" baseField="0" baseItem="0"/>
  </dataFields>
  <formats count="19">
    <format dxfId="34">
      <pivotArea outline="0" collapsedLevelsAreSubtotals="1" fieldPosition="0"/>
    </format>
    <format dxfId="33">
      <pivotArea dataOnly="0" labelOnly="1" fieldPosition="0">
        <references count="1">
          <reference field="16" count="0"/>
        </references>
      </pivotArea>
    </format>
    <format dxfId="32">
      <pivotArea dataOnly="0" labelOnly="1" grandRow="1" outline="0" fieldPosition="0"/>
    </format>
    <format dxfId="20">
      <pivotArea field="16" type="button" dataOnly="0" labelOnly="1" outline="0" axis="axisRow" fieldPosition="0"/>
    </format>
    <format dxfId="19">
      <pivotArea dataOnly="0" labelOnly="1" outline="0" axis="axisValues" fieldPosition="0"/>
    </format>
    <format dxfId="18">
      <pivotArea field="16" type="button" dataOnly="0" labelOnly="1" outline="0" axis="axisRow" fieldPosition="0"/>
    </format>
    <format dxfId="17">
      <pivotArea dataOnly="0" labelOnly="1" outline="0" axis="axisValues" fieldPosition="0"/>
    </format>
    <format dxfId="16">
      <pivotArea field="16" type="button" dataOnly="0" labelOnly="1" outline="0" axis="axisRow" fieldPosition="0"/>
    </format>
    <format dxfId="15">
      <pivotArea dataOnly="0" labelOnly="1" outline="0" axis="axisValues" fieldPosition="0"/>
    </format>
    <format dxfId="14">
      <pivotArea field="16" type="button" dataOnly="0" labelOnly="1" outline="0" axis="axisRow" fieldPosition="0"/>
    </format>
    <format dxfId="13">
      <pivotArea dataOnly="0" labelOnly="1" outline="0" axis="axisValues" fieldPosition="0"/>
    </format>
    <format dxfId="12">
      <pivotArea field="16" type="button" dataOnly="0" labelOnly="1" outline="0" axis="axisRow" fieldPosition="0"/>
    </format>
    <format dxfId="11">
      <pivotArea dataOnly="0" labelOnly="1" outline="0" axis="axisValues" fieldPosition="0"/>
    </format>
    <format dxfId="10">
      <pivotArea outline="0" collapsedLevelsAreSubtotals="1" fieldPosition="0"/>
    </format>
    <format dxfId="9">
      <pivotArea dataOnly="0" labelOnly="1" fieldPosition="0">
        <references count="1">
          <reference field="16" count="0"/>
        </references>
      </pivotArea>
    </format>
    <format dxfId="8">
      <pivotArea dataOnly="0" labelOnly="1" grandRow="1" outline="0" fieldPosition="0"/>
    </format>
    <format dxfId="7">
      <pivotArea outline="0" collapsedLevelsAreSubtotals="1" fieldPosition="0"/>
    </format>
    <format dxfId="6">
      <pivotArea dataOnly="0" labelOnly="1" fieldPosition="0">
        <references count="1">
          <reference field="16" count="0"/>
        </references>
      </pivotArea>
    </format>
    <format dxfId="5">
      <pivotArea dataOnly="0" labelOnly="1" grandRow="1" outline="0"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AF4EFD-7492-424B-BFC6-2605B933BC1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9">
    <pivotField showAll="0"/>
    <pivotField showAll="0"/>
    <pivotField showAll="0"/>
    <pivotField showAll="0"/>
    <pivotField showAll="0">
      <items count="6">
        <item x="4"/>
        <item x="0"/>
        <item x="3"/>
        <item x="1"/>
        <item x="2"/>
        <item t="default"/>
      </items>
    </pivotField>
    <pivotField showAll="0"/>
    <pivotField showAll="0">
      <items count="7">
        <item x="1"/>
        <item x="0"/>
        <item x="5"/>
        <item x="2"/>
        <item x="3"/>
        <item x="4"/>
        <item t="default"/>
      </items>
    </pivotField>
    <pivotField showAll="0">
      <items count="3">
        <item x="0"/>
        <item x="1"/>
        <item t="default"/>
      </items>
    </pivotField>
    <pivotField numFmtId="15" showAll="0"/>
    <pivotField numFmtId="15" showAll="0"/>
    <pivotField dataField="1" showAll="0"/>
    <pivotField showAll="0"/>
    <pivotField showAll="0"/>
    <pivotField showAll="0"/>
    <pivotField showAll="0">
      <items count="3">
        <item x="1"/>
        <item x="0"/>
        <item t="default"/>
      </items>
    </pivotField>
    <pivotField showAll="0"/>
    <pivotField axis="axisRow" showAll="0" sortType="descending">
      <items count="11">
        <item x="1"/>
        <item x="8"/>
        <item x="4"/>
        <item x="2"/>
        <item x="6"/>
        <item x="5"/>
        <item x="9"/>
        <item x="0"/>
        <item x="3"/>
        <item x="7"/>
        <item t="default"/>
      </items>
      <autoSortScope>
        <pivotArea dataOnly="0" outline="0" fieldPosition="0">
          <references count="1">
            <reference field="4294967294" count="1" selected="0">
              <x v="0"/>
            </reference>
          </references>
        </pivotArea>
      </autoSortScope>
    </pivotField>
    <pivotField showAll="0">
      <items count="11">
        <item x="2"/>
        <item x="4"/>
        <item x="6"/>
        <item x="7"/>
        <item x="3"/>
        <item x="0"/>
        <item x="9"/>
        <item x="1"/>
        <item x="8"/>
        <item x="5"/>
        <item t="default"/>
      </items>
    </pivotField>
    <pivotField showAll="0">
      <items count="4">
        <item x="2"/>
        <item x="1"/>
        <item x="0"/>
        <item t="default"/>
      </items>
    </pivotField>
  </pivotFields>
  <rowFields count="1">
    <field x="16"/>
  </rowFields>
  <rowItems count="11">
    <i>
      <x v="6"/>
    </i>
    <i>
      <x v="9"/>
    </i>
    <i>
      <x v="2"/>
    </i>
    <i>
      <x v="4"/>
    </i>
    <i>
      <x v="7"/>
    </i>
    <i>
      <x v="8"/>
    </i>
    <i>
      <x v="3"/>
    </i>
    <i>
      <x/>
    </i>
    <i>
      <x v="1"/>
    </i>
    <i>
      <x v="5"/>
    </i>
    <i t="grand">
      <x/>
    </i>
  </rowItems>
  <colItems count="1">
    <i/>
  </colItems>
  <dataFields count="1">
    <dataField name="Average of LOS" fld="10" subtotal="average" baseField="0" baseItem="0"/>
  </dataFields>
  <formats count="8">
    <format dxfId="31">
      <pivotArea field="16" type="button" dataOnly="0" labelOnly="1" outline="0" axis="axisRow" fieldPosition="0"/>
    </format>
    <format dxfId="30">
      <pivotArea dataOnly="0" labelOnly="1" outline="0" axis="axisValues" fieldPosition="0"/>
    </format>
    <format dxfId="29">
      <pivotArea field="16" type="button" dataOnly="0" labelOnly="1" outline="0" axis="axisRow" fieldPosition="0"/>
    </format>
    <format dxfId="28">
      <pivotArea dataOnly="0" labelOnly="1" outline="0" axis="axisValues" fieldPosition="0"/>
    </format>
    <format dxfId="27">
      <pivotArea grandRow="1" outline="0" collapsedLevelsAreSubtotals="1" fieldPosition="0"/>
    </format>
    <format dxfId="26">
      <pivotArea dataOnly="0" labelOnly="1" grandRow="1" outline="0" fieldPosition="0"/>
    </format>
    <format dxfId="25">
      <pivotArea grandRow="1" outline="0" collapsedLevelsAreSubtotals="1" fieldPosition="0"/>
    </format>
    <format dxfId="24">
      <pivotArea dataOnly="0" labelOnly="1" grandRow="1" outline="0" fieldPosition="0"/>
    </format>
  </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4486FC-620A-416D-B46B-3E5C0320317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9">
    <pivotField showAll="0"/>
    <pivotField showAll="0"/>
    <pivotField showAll="0"/>
    <pivotField showAll="0"/>
    <pivotField showAll="0"/>
    <pivotField showAll="0"/>
    <pivotField axis="axisRow" showAll="0" sortType="descending">
      <items count="7">
        <item x="1"/>
        <item x="0"/>
        <item x="5"/>
        <item x="2"/>
        <item x="3"/>
        <item x="4"/>
        <item t="default"/>
      </items>
      <autoSortScope>
        <pivotArea dataOnly="0" outline="0" fieldPosition="0">
          <references count="1">
            <reference field="4294967294" count="1" selected="0">
              <x v="0"/>
            </reference>
          </references>
        </pivotArea>
      </autoSortScope>
    </pivotField>
    <pivotField showAll="0"/>
    <pivotField numFmtId="15" showAll="0"/>
    <pivotField numFmtId="15" showAll="0"/>
    <pivotField dataField="1" showAll="0"/>
    <pivotField showAll="0"/>
    <pivotField showAll="0"/>
    <pivotField showAll="0"/>
    <pivotField showAll="0"/>
    <pivotField showAll="0"/>
    <pivotField showAll="0"/>
    <pivotField showAll="0"/>
    <pivotField showAll="0"/>
  </pivotFields>
  <rowFields count="1">
    <field x="6"/>
  </rowFields>
  <rowItems count="7">
    <i>
      <x v="3"/>
    </i>
    <i>
      <x v="2"/>
    </i>
    <i>
      <x/>
    </i>
    <i>
      <x v="1"/>
    </i>
    <i>
      <x v="5"/>
    </i>
    <i>
      <x v="4"/>
    </i>
    <i t="grand">
      <x/>
    </i>
  </rowItems>
  <colItems count="1">
    <i/>
  </colItems>
  <dataFields count="1">
    <dataField name="Average of LOS_Days" fld="10" subtotal="average"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981B31-2D58-438A-A578-DE63B3FE732E}"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0" firstDataRow="1" firstDataCol="1"/>
  <pivotFields count="29">
    <pivotField dataField="1" showAll="0"/>
    <pivotField showAll="0"/>
    <pivotField showAll="0"/>
    <pivotField showAll="0"/>
    <pivotField showAll="0"/>
    <pivotField showAll="0"/>
    <pivotField showAll="0"/>
    <pivotField showAll="0"/>
    <pivotField numFmtId="15"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s>
  <rowFields count="1">
    <field x="23"/>
  </rowFields>
  <rowItems count="3">
    <i>
      <x/>
    </i>
    <i>
      <x v="1"/>
    </i>
    <i t="grand">
      <x/>
    </i>
  </rowItems>
  <colFields count="1">
    <field x="-2"/>
  </colFields>
  <colItems count="2">
    <i>
      <x/>
    </i>
    <i i="1">
      <x v="1"/>
    </i>
  </colItems>
  <dataFields count="2">
    <dataField name="Count of Encounter_ID" fld="0" subtotal="count" baseField="0" baseItem="0"/>
    <dataField name="Average of LOS_Days" fld="10" subtotal="average"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AFE5C1-E053-43F1-837A-875F1A492293}"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5" firstHeaderRow="1" firstDataRow="2" firstDataCol="1"/>
  <pivotFields count="29">
    <pivotField dataField="1" showAll="0"/>
    <pivotField showAll="0"/>
    <pivotField showAll="0"/>
    <pivotField showAll="0"/>
    <pivotField showAll="0"/>
    <pivotField showAll="0"/>
    <pivotField showAll="0"/>
    <pivotField showAll="0"/>
    <pivotField numFmtId="15" showAll="0"/>
    <pivotField showAll="0"/>
    <pivotField showAll="0"/>
    <pivotField axis="axisCol" showAll="0">
      <items count="3">
        <item x="1"/>
        <item x="0"/>
        <item t="default"/>
      </items>
    </pivotField>
    <pivotField showAll="0"/>
    <pivotField showAll="0"/>
    <pivotField showAll="0"/>
    <pivotField showAll="0"/>
    <pivotField axis="axisRow" showAll="0">
      <items count="11">
        <item x="1"/>
        <item x="8"/>
        <item x="4"/>
        <item x="2"/>
        <item x="6"/>
        <item x="5"/>
        <item x="9"/>
        <item x="0"/>
        <item x="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1">
    <i>
      <x/>
    </i>
    <i>
      <x v="1"/>
    </i>
    <i>
      <x v="2"/>
    </i>
    <i>
      <x v="3"/>
    </i>
    <i>
      <x v="4"/>
    </i>
    <i>
      <x v="5"/>
    </i>
    <i>
      <x v="6"/>
    </i>
    <i>
      <x v="7"/>
    </i>
    <i>
      <x v="8"/>
    </i>
    <i>
      <x v="9"/>
    </i>
    <i t="grand">
      <x/>
    </i>
  </rowItems>
  <colFields count="1">
    <field x="11"/>
  </colFields>
  <colItems count="3">
    <i>
      <x/>
    </i>
    <i>
      <x v="1"/>
    </i>
    <i t="grand">
      <x/>
    </i>
  </colItems>
  <dataFields count="1">
    <dataField name="Count of Encounter_I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C29676-9EBA-4EBD-B15F-0335ADA28688}"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5" firstHeaderRow="1" firstDataRow="2" firstDataCol="1"/>
  <pivotFields count="29">
    <pivotField dataField="1" showAll="0"/>
    <pivotField showAll="0"/>
    <pivotField showAll="0"/>
    <pivotField showAll="0"/>
    <pivotField showAll="0"/>
    <pivotField showAll="0"/>
    <pivotField showAll="0"/>
    <pivotField showAll="0"/>
    <pivotField numFmtId="15" showAll="0"/>
    <pivotField showAll="0"/>
    <pivotField showAll="0"/>
    <pivotField showAll="0"/>
    <pivotField showAll="0"/>
    <pivotField axis="axisCol" showAll="0">
      <items count="4">
        <item x="2"/>
        <item x="0"/>
        <item x="1"/>
        <item t="default"/>
      </items>
    </pivotField>
    <pivotField showAll="0"/>
    <pivotField showAll="0"/>
    <pivotField axis="axisRow" showAll="0">
      <items count="11">
        <item x="1"/>
        <item x="8"/>
        <item x="4"/>
        <item x="2"/>
        <item x="6"/>
        <item x="5"/>
        <item x="9"/>
        <item x="0"/>
        <item x="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1">
    <i>
      <x/>
    </i>
    <i>
      <x v="1"/>
    </i>
    <i>
      <x v="2"/>
    </i>
    <i>
      <x v="3"/>
    </i>
    <i>
      <x v="4"/>
    </i>
    <i>
      <x v="5"/>
    </i>
    <i>
      <x v="6"/>
    </i>
    <i>
      <x v="7"/>
    </i>
    <i>
      <x v="8"/>
    </i>
    <i>
      <x v="9"/>
    </i>
    <i t="grand">
      <x/>
    </i>
  </rowItems>
  <colFields count="1">
    <field x="13"/>
  </colFields>
  <colItems count="4">
    <i>
      <x/>
    </i>
    <i>
      <x v="1"/>
    </i>
    <i>
      <x v="2"/>
    </i>
    <i t="grand">
      <x/>
    </i>
  </colItems>
  <dataFields count="1">
    <dataField name="Count of Encounter_I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41E35E-03A7-41DD-AF1C-FAD1B1C3209D}"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1" firstDataRow="2" firstDataCol="1"/>
  <pivotFields count="29">
    <pivotField dataField="1"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axis="axisCol"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18"/>
  </rowFields>
  <rowItems count="4">
    <i>
      <x/>
    </i>
    <i>
      <x v="1"/>
    </i>
    <i>
      <x v="2"/>
    </i>
    <i t="grand">
      <x/>
    </i>
  </rowItems>
  <colFields count="1">
    <field x="14"/>
  </colFields>
  <colItems count="3">
    <i>
      <x/>
    </i>
    <i>
      <x v="1"/>
    </i>
    <i t="grand">
      <x/>
    </i>
  </colItems>
  <dataFields count="1">
    <dataField name="Count of Encounter_I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2E6777-D748-43AF-A43A-9A31F0B36C3E}"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pivotFields count="29">
    <pivotField dataField="1" showAll="0"/>
    <pivotField showAll="0"/>
    <pivotField showAll="0"/>
    <pivotField showAll="0"/>
    <pivotField axis="axisRow" showAll="0" sortType="descending">
      <items count="6">
        <item x="4"/>
        <item x="0"/>
        <item x="3"/>
        <item x="1"/>
        <item x="2"/>
        <item t="default"/>
      </items>
      <autoSortScope>
        <pivotArea dataOnly="0" outline="0" fieldPosition="0">
          <references count="1">
            <reference field="4294967294" count="1" selected="0">
              <x v="1"/>
            </reference>
          </references>
        </pivotArea>
      </autoSortScope>
    </pivotField>
    <pivotField showAll="0"/>
    <pivotField showAll="0"/>
    <pivotField showAll="0"/>
    <pivotField numFmtId="15"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v="3"/>
    </i>
    <i>
      <x v="4"/>
    </i>
    <i>
      <x/>
    </i>
    <i>
      <x v="2"/>
    </i>
    <i>
      <x v="1"/>
    </i>
    <i t="grand">
      <x/>
    </i>
  </rowItems>
  <colFields count="1">
    <field x="-2"/>
  </colFields>
  <colItems count="2">
    <i>
      <x/>
    </i>
    <i i="1">
      <x v="1"/>
    </i>
  </colItems>
  <dataFields count="2">
    <dataField name="Count of Encounter_ID" fld="0" subtotal="count" baseField="0" baseItem="0"/>
    <dataField name="Average of LOS_Days" fld="10" subtotal="average"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5DE380-3D23-4321-94CD-955C5AE524A4}"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6" firstHeaderRow="1" firstDataRow="2" firstDataCol="1"/>
  <pivotFields count="29">
    <pivotField dataField="1" showAll="0"/>
    <pivotField showAll="0"/>
    <pivotField showAll="0"/>
    <pivotField showAll="0"/>
    <pivotField showAll="0"/>
    <pivotField showAll="0"/>
    <pivotField axis="axisRow" showAll="0">
      <items count="12">
        <item x="10"/>
        <item x="7"/>
        <item x="6"/>
        <item x="5"/>
        <item x="9"/>
        <item x="0"/>
        <item x="8"/>
        <item x="2"/>
        <item x="3"/>
        <item x="4"/>
        <item x="1"/>
        <item t="default"/>
      </items>
    </pivotField>
    <pivotField showAll="0"/>
    <pivotField numFmtId="15"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2">
    <i>
      <x/>
    </i>
    <i>
      <x v="1"/>
    </i>
    <i>
      <x v="2"/>
    </i>
    <i>
      <x v="3"/>
    </i>
    <i>
      <x v="4"/>
    </i>
    <i>
      <x v="5"/>
    </i>
    <i>
      <x v="6"/>
    </i>
    <i>
      <x v="7"/>
    </i>
    <i>
      <x v="8"/>
    </i>
    <i>
      <x v="9"/>
    </i>
    <i>
      <x v="10"/>
    </i>
    <i t="grand">
      <x/>
    </i>
  </rowItems>
  <colFields count="1">
    <field x="15"/>
  </colFields>
  <colItems count="3">
    <i>
      <x/>
    </i>
    <i>
      <x v="1"/>
    </i>
    <i t="grand">
      <x/>
    </i>
  </colItems>
  <dataFields count="1">
    <dataField name="Count of Encounter_I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FAA96EC-BAE3-4DC2-8F7D-BAFC3760FD74}" sourceName="Age_Group">
  <pivotTables>
    <pivotTable tabId="18" name="PivotTable5"/>
  </pivotTables>
  <data>
    <tabular pivotCacheId="847939463">
      <items count="5">
        <i x="4" s="1"/>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E896575-CDE7-4DC8-9301-77A17ABB43FE}" sourceName="Department">
  <pivotTables>
    <pivotTable tabId="18" name="PivotTable5"/>
  </pivotTables>
  <data>
    <tabular pivotCacheId="847939463">
      <items count="6">
        <i x="1" s="1"/>
        <i x="0" s="1"/>
        <i x="5"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C90D1318-0883-43D3-BAD3-FAD388243A4A}" sourceName="Admission_Type">
  <pivotTables>
    <pivotTable tabId="18" name="PivotTable5"/>
  </pivotTables>
  <data>
    <tabular pivotCacheId="84793946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Name" xr10:uid="{2AFEA8D5-9F69-4C21-ACBB-F2A0643425F4}" sourceName="Hospital_Name">
  <pivotTables>
    <pivotTable tabId="18" name="PivotTable5"/>
  </pivotTables>
  <data>
    <tabular pivotCacheId="847939463">
      <items count="10">
        <i x="1" s="1"/>
        <i x="8" s="1"/>
        <i x="4" s="1"/>
        <i x="2" s="1"/>
        <i x="6" s="1"/>
        <i x="5" s="1"/>
        <i x="9" s="1"/>
        <i x="0" s="1"/>
        <i x="3" s="1"/>
        <i x="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5094042-A68A-40E6-9102-3BB198FEC9DE}" sourceName="Country">
  <pivotTables>
    <pivotTable tabId="18" name="PivotTable5"/>
  </pivotTables>
  <data>
    <tabular pivotCacheId="847939463">
      <items count="10">
        <i x="2" s="1"/>
        <i x="4" s="1"/>
        <i x="6" s="1"/>
        <i x="7" s="1"/>
        <i x="3" s="1"/>
        <i x="0" s="1"/>
        <i x="9" s="1"/>
        <i x="1" s="1"/>
        <i x="8" s="1"/>
        <i x="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HIR_Status" xr10:uid="{2B96D75A-EFB2-4B2A-B272-6E78C74EC94D}" sourceName="FHIR_Status">
  <pivotTables>
    <pivotTable tabId="18" name="PivotTable5"/>
  </pivotTables>
  <data>
    <tabular pivotCacheId="847939463">
      <items count="3">
        <i x="2" s="1"/>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plicate_Test" xr10:uid="{D8A9B22A-8772-4439-A62B-943461AF1178}" sourceName="Duplicate_Test">
  <pivotTables>
    <pivotTable tabId="18" name="PivotTable5"/>
  </pivotTables>
  <data>
    <tabular pivotCacheId="84793946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0256D648-0944-44D6-B139-C8DDDE965C4F}" cache="Slicer_Age_Group" caption="Age_Group" style="SlicerStyleDark1" rowHeight="247650"/>
  <slicer name="Department" xr10:uid="{E9139340-618F-40A8-9EE7-CB233F08246D}" cache="Slicer_Department" caption="Department" style="SlicerStyleDark1" rowHeight="247650"/>
  <slicer name="Admission_Type" xr10:uid="{42698D00-FC6C-45FF-978E-D5E5A7E02795}" cache="Slicer_Admission_Type" caption="Admission_Type" style="SlicerStyleDark1" rowHeight="247650"/>
  <slicer name="Hospital_Name" xr10:uid="{CB7D6D7E-F7A2-4162-8745-5A563ECE73B7}" cache="Slicer_Hospital_Name" caption="Hospital_Name" style="SlicerStyleDark1" rowHeight="247650"/>
  <slicer name="Country" xr10:uid="{B36AA511-ADBB-4218-AB5A-E0D5D6ED22F7}" cache="Slicer_Country" caption="Country" style="SlicerStyleDark1" rowHeight="247650"/>
  <slicer name="FHIR_Status" xr10:uid="{2D99F125-0AD9-43B5-A844-05D8F708BC02}" cache="Slicer_FHIR_Status" caption="FHIR_Status" style="SlicerStyleDark1" rowHeight="247650"/>
  <slicer name="Duplicate_Test" xr10:uid="{F64012D7-C19A-4138-993E-92338FAD72C5}" cache="Slicer_Duplicate_Test" caption="Duplicate_Test"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E49D46-6EE8-411F-9ADF-C338C4C14FE4}" name="Table1" displayName="Table1" ref="A1:N11" totalsRowShown="0" headerRowDxfId="103">
  <autoFilter ref="A1:N11" xr:uid="{F2E49D46-6EE8-411F-9ADF-C338C4C14FE4}"/>
  <tableColumns count="14">
    <tableColumn id="1" xr3:uid="{657FD492-1836-441B-BEE6-60A09251C105}" name="Hospital_ID"/>
    <tableColumn id="2" xr3:uid="{7FA77027-D829-47AB-8F02-028C1338234D}" name="Hospital_Name"/>
    <tableColumn id="3" xr3:uid="{4A7CE925-8EDD-428B-A548-4D1A245B4AC4}" name="Country"/>
    <tableColumn id="4" xr3:uid="{C22402A1-24F8-4315-968C-436119156A4A}" name="Hospital_Type"/>
    <tableColumn id="5" xr3:uid="{CD914248-2331-4285-82E1-FDEAE2F905B1}" name="Beds"/>
    <tableColumn id="6" xr3:uid="{A8EA49F9-08FB-40E6-94D9-A26EC15CD773}" name="EHR_System"/>
    <tableColumn id="7" xr3:uid="{ED2EFF43-4D79-4DE7-8867-9023087B5004}" name="EHR_Adoption_Pct" dataDxfId="102"/>
    <tableColumn id="8" xr3:uid="{11E60308-A23E-4E6B-810F-CE4C682AA0BC}" name="FHIR_Enabled"/>
    <tableColumn id="9" xr3:uid="{7614987B-2605-4AF3-88C8-4A47ED9C97C0}" name="SNOMED_CT"/>
    <tableColumn id="10" xr3:uid="{B6D52156-EF25-45B2-8E1A-C7E897C96C23}" name="LOINC"/>
    <tableColumn id="11" xr3:uid="{0A1F3DA4-B5E1-4AAD-B4C6-B60317B07471}" name="Patient_Portal"/>
    <tableColumn id="12" xr3:uid="{CAE9E9DF-42BE-4BF1-9A4B-133815BEC124}" name="Digital_Training_Pct" dataDxfId="101"/>
    <tableColumn id="14" xr3:uid="{B05DB5D9-7416-47C0-95C5-D6553BA026F5}" name="Digital_Gap" dataDxfId="100">
      <calculatedColumnFormula>IF(AND(Table1[[#This Row],[EHR_Adoption_Pct]]&gt;=90%,Table1[[#This Row],[FHIR_Enabled]]&lt;&gt;"Yes"),"High Adoption - Interoperability  Gap","No Major Gap")</calculatedColumnFormula>
    </tableColumn>
    <tableColumn id="13" xr3:uid="{FB789302-140C-47BF-8856-AF992FA6BB6E}" name="Digital_Readiness_Level" dataDxfId="99">
      <calculatedColumnFormula>IF(Table1[[#This Row],[EHR_Adoption_Pct]]&gt;=90%,"Advanced",IF(Table1[[#This Row],[EHR_Adoption_Pct]]&gt;=75%,"Developing","Needs Improvement"))</calculatedColumnFormula>
    </tableColumn>
  </tableColumns>
  <tableStyleInfo name="TableStyleDark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649B0F-C8D2-49C1-A87A-1A6D43444C98}" name="tblEncounters" displayName="tblEncounters" ref="A1:S51" totalsRowShown="0">
  <autoFilter ref="A1:S51" xr:uid="{04649B0F-C8D2-49C1-A87A-1A6D43444C98}"/>
  <tableColumns count="19">
    <tableColumn id="1" xr3:uid="{3680D88B-7E57-4E7D-9D06-CBC61AC3286D}" name="Encounter_ID"/>
    <tableColumn id="2" xr3:uid="{7800CF16-49A1-453E-BAC6-AE6D67B434A4}" name="Patient_ID"/>
    <tableColumn id="3" xr3:uid="{9F50D399-F2B6-47D8-A011-07D25BFA2699}" name="Hospital_ID"/>
    <tableColumn id="4" xr3:uid="{ED23D5DF-1917-4C97-B550-9C07D375F0D3}" name="Age"/>
    <tableColumn id="5" xr3:uid="{D35D3799-C8F7-4B92-A8A6-EBF266528191}" name="Age_Group" dataDxfId="98">
      <calculatedColumnFormula>IF(tblEncounters[[#This Row],[Age]]&lt;30,"18-29",IF(tblEncounters[[#This Row],[Age]]&lt;45,"30-44",IF(tblEncounters[[#This Row],[Age]]&lt;60,"45-59",IF(tblEncounters[[#This Row],[Age]]&lt;75,"60-74","75+"))))</calculatedColumnFormula>
    </tableColumn>
    <tableColumn id="6" xr3:uid="{66C82393-871C-4E87-8166-061F1ADBD431}" name="Sex"/>
    <tableColumn id="7" xr3:uid="{03BCA67D-A3A0-464D-A8E9-FBB4FD23A799}" name="Department"/>
    <tableColumn id="8" xr3:uid="{12FCD1A4-1B75-43E4-B4C4-E84CF2926636}" name="Admission_Type"/>
    <tableColumn id="9" xr3:uid="{070EB705-5FEB-4752-862F-4D55ED82CD43}" name="Admission_Date" dataDxfId="97"/>
    <tableColumn id="10" xr3:uid="{1E2FA6EB-E1BE-4CAF-9C03-78D2D8A365D4}" name="Discharge_Date" dataDxfId="96">
      <calculatedColumnFormula>tblEncounters[[#This Row],[Admission_Date]]+RANDBETWEEN(1,12)</calculatedColumnFormula>
    </tableColumn>
    <tableColumn id="11" xr3:uid="{67BFE007-419C-4318-A9CD-5B9FD2A5D220}" name="LOS_Days" dataDxfId="95">
      <calculatedColumnFormula>tblEncounters[[#This Row],[Discharge_Date]]-tblEncounters[[#This Row],[Admission_Date]]</calculatedColumnFormula>
    </tableColumn>
    <tableColumn id="12" xr3:uid="{6585BD2C-E28C-41FC-A5C6-5DE820D94B8C}" name="Readmission_30D" dataDxfId="94"/>
    <tableColumn id="13" xr3:uid="{88D5061D-4EA2-482F-AAD7-D4EB803CFBED}" name="Discharge_Destination"/>
    <tableColumn id="14" xr3:uid="{53B6BAB4-D657-42CF-83B3-F85805736DD2}" name="Documentation_Complete"/>
    <tableColumn id="15" xr3:uid="{F7A0E380-4ECC-4142-B2D3-6FD7B0971F6B}" name="Duplicate_Test"/>
    <tableColumn id="16" xr3:uid="{4D26C4C1-226F-428C-8270-8C64B326823E}" name="Referral_Required"/>
    <tableColumn id="17" xr3:uid="{BEC2191F-7762-406F-89DA-454466C5277A}" name="Hospital_Name" dataDxfId="93">
      <calculatedColumnFormula>_xlfn.XLOOKUP(tblEncounters[[#This Row],[Hospital_ID]],Table1[Hospital_ID],Table1[Hospital_Name],"Not Found")</calculatedColumnFormula>
    </tableColumn>
    <tableColumn id="18" xr3:uid="{145268B2-52CE-470E-B531-2492F4D78132}" name="Country" dataDxfId="92">
      <calculatedColumnFormula>_xlfn.XLOOKUP(tblEncounters[[#This Row],[Hospital_ID]],Table1[Hospital_ID],Table1[Country],"Not Found")</calculatedColumnFormula>
    </tableColumn>
    <tableColumn id="19" xr3:uid="{E4FDE91A-FED1-4B22-AEF0-0C00CA028455}" name="FHIR_Status" dataDxfId="91">
      <calculatedColumnFormula>_xlfn.XLOOKUP(tblEncounters[[#This Row],[Hospital_ID]],Table1[Hospital_ID],Table1[FHIR_Enabled],"Not Found")</calculatedColumnFormula>
    </tableColumn>
  </tableColumns>
  <tableStyleInfo name="TableStyleDark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C5122ED-CBE3-48EA-B711-B00A1AD60654}" name="tblEncounters6" displayName="tblEncounters6" ref="A1:S51" totalsRowShown="0">
  <autoFilter ref="A1:S51" xr:uid="{04649B0F-C8D2-49C1-A87A-1A6D43444C98}"/>
  <tableColumns count="19">
    <tableColumn id="1" xr3:uid="{DB2C03F2-5DE8-4C85-AA0A-81AA409680FD}" name="Encounter_ID"/>
    <tableColumn id="2" xr3:uid="{7A7B93B3-82C5-4D2F-92BD-4E49ECB41828}" name="Patient_ID"/>
    <tableColumn id="3" xr3:uid="{EA27F65D-43C2-4B8A-9C4E-58CA0BCB0A04}" name="Hospital_ID"/>
    <tableColumn id="4" xr3:uid="{C5B1D217-7898-4FA9-8A87-1102185A1468}" name="Age"/>
    <tableColumn id="5" xr3:uid="{6A831A9C-B2CD-4190-AE4C-532714CDDA5C}" name="Age_Group" dataDxfId="90">
      <calculatedColumnFormula>IF(tblEncounters6[[#This Row],[Age]]&lt;30,"18-29",IF(tblEncounters6[[#This Row],[Age]]&lt;45,"30-44",IF(tblEncounters6[[#This Row],[Age]]&lt;60,"45-59",IF(tblEncounters6[[#This Row],[Age]]&lt;75,"60-74","75+"))))</calculatedColumnFormula>
    </tableColumn>
    <tableColumn id="6" xr3:uid="{8FCED7B7-F7FD-49FA-AAD1-AAF9939D6053}" name="Sex"/>
    <tableColumn id="7" xr3:uid="{AD3ECF32-078C-44F5-88ED-A6D4C7559FF7}" name="Department"/>
    <tableColumn id="8" xr3:uid="{EC4EF4E9-D303-464A-9A96-7E7285AA2629}" name="Admission_Type"/>
    <tableColumn id="9" xr3:uid="{A63EC5F4-A942-4509-AF6C-7E75AFA9C543}" name="Admission_Date" dataDxfId="89"/>
    <tableColumn id="10" xr3:uid="{7BA64B2B-5172-4027-BD5C-14B99162F727}" name="Discharge_Date" dataDxfId="88">
      <calculatedColumnFormula>tblEncounters6[[#This Row],[Admission_Date]]+RANDBETWEEN(1,12)</calculatedColumnFormula>
    </tableColumn>
    <tableColumn id="11" xr3:uid="{80E5B726-14B4-4379-8BD8-D32345F5F547}" name="LOS_Days" dataDxfId="87">
      <calculatedColumnFormula>tblEncounters6[[#This Row],[Discharge_Date]]-tblEncounters6[[#This Row],[Admission_Date]]</calculatedColumnFormula>
    </tableColumn>
    <tableColumn id="12" xr3:uid="{2B7665BC-8B55-47FD-95FD-C03DCFE6F050}" name="Readmission_30D" dataDxfId="86"/>
    <tableColumn id="13" xr3:uid="{DB9A91D2-8C80-49FF-8F67-FB10B106FAA5}" name="Discharge_Destination"/>
    <tableColumn id="14" xr3:uid="{8E7EABAC-2736-4DB4-AB4A-F43942B1B778}" name="Documentation_Complete"/>
    <tableColumn id="15" xr3:uid="{C9581091-2B3E-4471-8F97-B8EF7F52B3CD}" name="Duplicate_Test"/>
    <tableColumn id="16" xr3:uid="{2E98A0A4-08C5-4DF5-BCFD-1AFF8035B233}" name="Referral_Required"/>
    <tableColumn id="17" xr3:uid="{9B900D50-1721-44DA-8507-595C4A28F50E}" name="Hospital_Name" dataDxfId="85">
      <calculatedColumnFormula>_xlfn.XLOOKUP(tblEncounters6[[#This Row],[Hospital_ID]],Table1[Hospital_ID],Table1[Hospital_Name],"Not Found")</calculatedColumnFormula>
    </tableColumn>
    <tableColumn id="18" xr3:uid="{FBBFD0C5-41B2-4D65-B07D-BCA95C8C008D}" name="Country" dataDxfId="84">
      <calculatedColumnFormula>_xlfn.XLOOKUP(tblEncounters6[[#This Row],[Hospital_ID]],Table1[Hospital_ID],Table1[Country],"Not Found")</calculatedColumnFormula>
    </tableColumn>
    <tableColumn id="19" xr3:uid="{AABD0633-8209-43C0-A70D-DC2EFB2E9335}" name="FHIR_Status" dataDxfId="83">
      <calculatedColumnFormula>_xlfn.XLOOKUP(tblEncounters6[[#This Row],[Hospital_ID]],Table1[Hospital_ID],Table1[FHIR_Enabled],"Not Found")</calculatedColumnFormula>
    </tableColumn>
  </tableColumns>
  <tableStyleInfo name="TableStyleDark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451D688-5A71-48DE-B52D-AE7947620A65}" name="tblEncounters5" displayName="tblEncounters5" ref="A1:AC51" totalsRowShown="0">
  <autoFilter ref="A1:AC51" xr:uid="{04649B0F-C8D2-49C1-A87A-1A6D43444C98}">
    <filterColumn colId="28">
      <filters>
        <filter val="Duplicate Encounter"/>
        <filter val="Invalid Age"/>
        <filter val="Invalid LOS"/>
        <filter val="Missing Age"/>
        <filter val="Missing Department"/>
        <filter val="Missing Documentation"/>
      </filters>
    </filterColumn>
  </autoFilter>
  <tableColumns count="29">
    <tableColumn id="1" xr3:uid="{0E39A25B-CA68-4566-BDBD-EE6A05750D0D}" name="Encounter_ID"/>
    <tableColumn id="2" xr3:uid="{6137EADE-7ADA-4ACD-8B9C-1218DE8C5939}" name="Patient_ID"/>
    <tableColumn id="3" xr3:uid="{166896C4-C05B-43FB-9220-D689542711D2}" name="Hospital_ID"/>
    <tableColumn id="4" xr3:uid="{00021A40-8E86-4B64-90F5-79F5F54505D6}" name="Age"/>
    <tableColumn id="5" xr3:uid="{ADEBBEAC-595D-456F-BBD7-A368BAEB05ED}" name="Age_Group" dataDxfId="82">
      <calculatedColumnFormula>IF(tblEncounters5[[#This Row],[Age]]&lt;30,"18-29",IF(tblEncounters5[[#This Row],[Age]]&lt;45,"30-44",IF(tblEncounters5[[#This Row],[Age]]&lt;60,"45-59",IF(tblEncounters5[[#This Row],[Age]]&lt;75,"60-74","75+"))))</calculatedColumnFormula>
    </tableColumn>
    <tableColumn id="6" xr3:uid="{9E4654C3-92E2-4343-9280-72720F776E92}" name="Sex"/>
    <tableColumn id="7" xr3:uid="{815EA1CE-9661-4C3A-8C00-765000D08BAF}" name="Department"/>
    <tableColumn id="8" xr3:uid="{0D99E867-AB3B-4A12-9660-16FCBB27DB96}" name="Admission_Type"/>
    <tableColumn id="9" xr3:uid="{610C1C74-6332-4D8A-82E2-922A0DACA8ED}" name="Admission_Date" dataDxfId="81"/>
    <tableColumn id="10" xr3:uid="{5D36E38A-142E-4622-8BF7-043773C3CA3C}" name="Discharge_Date" dataDxfId="80">
      <calculatedColumnFormula>tblEncounters5[[#This Row],[Admission_Date]]+RANDBETWEEN(1,12)</calculatedColumnFormula>
    </tableColumn>
    <tableColumn id="11" xr3:uid="{1C6637A6-A06C-404F-ADB0-00C90CD4A789}" name="LOS_Days" dataDxfId="79">
      <calculatedColumnFormula>tblEncounters5[[#This Row],[Discharge_Date]]-tblEncounters5[[#This Row],[Admission_Date]]</calculatedColumnFormula>
    </tableColumn>
    <tableColumn id="12" xr3:uid="{68AF49D1-EDAB-4AB2-BD9D-07A17C01D789}" name="Readmission_30D" dataDxfId="78"/>
    <tableColumn id="13" xr3:uid="{8D5E9271-5C02-4262-9534-3CF92962B726}" name="Discharge_Destination"/>
    <tableColumn id="14" xr3:uid="{A25FFB11-8653-4D1E-A1E3-0679CB4324B9}" name="Documentation_Complete"/>
    <tableColumn id="15" xr3:uid="{2943329C-C130-4995-963D-2BB2ADA3199D}" name="Duplicate_Test"/>
    <tableColumn id="16" xr3:uid="{FC4AE464-7801-472C-BE7F-912009F9C5B3}" name="Referral_Required"/>
    <tableColumn id="17" xr3:uid="{07E23B73-2682-463D-B244-43A48C837C42}" name="Hospital_Name" dataDxfId="77">
      <calculatedColumnFormula>_xlfn.XLOOKUP(tblEncounters5[[#This Row],[Hospital_ID]],Table1[Hospital_ID],Table1[Hospital_Name],"Not Found")</calculatedColumnFormula>
    </tableColumn>
    <tableColumn id="18" xr3:uid="{3A2F8C80-4643-42E0-AFB3-C05D72A39BD7}" name="Country" dataDxfId="76">
      <calculatedColumnFormula>_xlfn.XLOOKUP(tblEncounters5[[#This Row],[Hospital_ID]],Table1[Hospital_ID],Table1[Country],"Not Found")</calculatedColumnFormula>
    </tableColumn>
    <tableColumn id="19" xr3:uid="{983B224B-28E5-4B86-A1E7-CA196BD27F13}" name="FHIR_Status" dataDxfId="75">
      <calculatedColumnFormula>_xlfn.XLOOKUP(tblEncounters5[[#This Row],[Hospital_ID]],Table1[Hospital_ID],Table1[FHIR_Enabled],"Not Found")</calculatedColumnFormula>
    </tableColumn>
    <tableColumn id="20" xr3:uid="{A621063D-B895-45EB-AEAB-605618C4E615}" name="DQ_Flag" dataDxfId="74">
      <calculatedColumnFormula>IF(OR(tblEncounters5[[#This Row],[Age]]="",tblEncounters5[[#This Row],[Age]]&lt;18,tblEncounters5[[#This Row],[Age]]&gt;100,tblEncounters5[[#This Row],[Department]]="",tblEncounters5[[#This Row],[Documentation_Complete]]="",tblEncounters5[[#This Row],[LOS_Days]]&lt;0),"Review","OK")</calculatedColumnFormula>
    </tableColumn>
    <tableColumn id="21" xr3:uid="{7F898B39-46AF-4618-8CA8-7BD313C581CF}" name="Duplicate_Encounter_Flag" dataDxfId="73">
      <calculatedColumnFormula>IF(COUNTIF(tblEncounters5[[#All],[Encounter_ID]],tblEncounters5[[#This Row],[Encounter_ID]])&gt;1,"Duplicate","Unique")</calculatedColumnFormula>
    </tableColumn>
    <tableColumn id="23" xr3:uid="{070EFA3F-6437-46EC-8856-E65C16427382}" name="Department 1" dataDxfId="72">
      <calculatedColumnFormula>PROPER(TRIM(tblEncounters5[[#This Row],[Department]]))</calculatedColumnFormula>
    </tableColumn>
    <tableColumn id="24" xr3:uid="{697980C6-D954-4AA4-A74F-CDEA0A6FE822}" name="Sex_Clean" dataDxfId="71">
      <calculatedColumnFormula>IF(LOWER(TRIM(tblEncounters5[[#This Row],[Sex]]))="male","Male",IF(LOWER(TRIM(tblEncounters5[[#This Row],[Sex]]))="female","Female","Review"))</calculatedColumnFormula>
    </tableColumn>
    <tableColumn id="25" xr3:uid="{DB2FB3D1-B0C7-41F0-982C-8B46F57044DA}" name="Admission_Type_Clean" dataDxfId="70">
      <calculatedColumnFormula>IF(OR(LOWER(TRIM(tblEncounters5[[#This Row],[Admission_Type]]))="emergency",LOWER(TRIM(tblEncounters5[[#This Row],[Admission_Type]]))="emerg"),"Emergency",IF(LOWER(TRIM(tblEncounters5[[#This Row],[Admission_Type]]))="planned","Planned","Review"))</calculatedColumnFormula>
    </tableColumn>
    <tableColumn id="26" xr3:uid="{AE7AA6F4-3842-4C07-98B5-B2F8DF222904}" name="Date_Check" dataDxfId="69">
      <calculatedColumnFormula>IF(tblEncounters5[[#This Row],[Discharge_Date]]="","Missing Discharge",IF(tblEncounters5[[#This Row],[Discharge_Date]]&lt;tblEncounters5[[#This Row],[Admission_Date]],"Invalid Date","OK"))</calculatedColumnFormula>
    </tableColumn>
    <tableColumn id="27" xr3:uid="{4B742B5C-B5A2-410A-8238-1056E01226EE}" name="Calculated_LOS" dataDxfId="68">
      <calculatedColumnFormula>IF(OR(tblEncounters5[[#This Row],[Admission_Date]]="",tblEncounters5[[#This Row],[Discharge_Date]]=""),"",tblEncounters5[[#This Row],[Discharge_Date]]-tblEncounters5[[#This Row],[Admission_Date]])</calculatedColumnFormula>
    </tableColumn>
    <tableColumn id="28" xr3:uid="{1AFA374C-9465-4AD3-9917-1B9C6C4B8981}" name="LOS_Check" dataDxfId="67">
      <calculatedColumnFormula>IF(tblEncounters5[[#This Row],[Calculated_LOS]]="","Missing",IF(tblEncounters5[[#This Row],[Calculated_LOS]]=tblEncounters5[[#This Row],[LOS_Days]],"Match","Mismatch"))</calculatedColumnFormula>
    </tableColumn>
    <tableColumn id="29" xr3:uid="{36840EEF-461A-4D6F-A88D-327848502AD6}" name="Hospital_ID_Check" dataDxfId="66">
      <calculatedColumnFormula>IF(COUNTIF(tblEncounters[Hospital_ID],tblEncounters5[[#This Row],[Hospital_ID]])=1,"Valid","Invalid")</calculatedColumnFormula>
    </tableColumn>
    <tableColumn id="30" xr3:uid="{2E431CA2-EB95-4CE3-89F8-41BD402CCAB1}" name="DQ_Issue_Type" dataDxfId="65">
      <calculatedColumnFormula>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calculatedColumnFormula>
    </tableColumn>
  </tableColumns>
  <tableStyleInfo name="TableStyleDark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7F50F64-8F81-434F-933C-7D97DC7943BE}" name="Table6" displayName="Table6" ref="A1:C8" totalsRowShown="0" headerRowDxfId="64" headerRowBorderDxfId="63" tableBorderDxfId="62" totalsRowBorderDxfId="61">
  <autoFilter ref="A1:C8" xr:uid="{97F50F64-8F81-434F-933C-7D97DC7943BE}"/>
  <tableColumns count="3">
    <tableColumn id="1" xr3:uid="{085F9C85-7361-40A2-A9F0-0D50E36D8F95}" name="Sr" dataDxfId="60"/>
    <tableColumn id="2" xr3:uid="{06120F9D-0949-4262-A6C6-C191CA61019B}" name="Analyses" dataDxfId="59"/>
    <tableColumn id="3" xr3:uid="{971B1C5F-C3ED-4546-9633-173891B5ABEC}" name="Result" dataDxfId="58"/>
  </tableColumns>
  <tableStyleInfo name="TableStyleDark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9610EA4-26E7-46DA-879D-0323ACD2025C}" name="Table7" displayName="Table7" ref="I1:J8" totalsRowShown="0" headerRowDxfId="57" headerRowBorderDxfId="56" tableBorderDxfId="55" totalsRowBorderDxfId="54">
  <autoFilter ref="I1:J8" xr:uid="{89610EA4-26E7-46DA-879D-0323ACD2025C}"/>
  <tableColumns count="2">
    <tableColumn id="1" xr3:uid="{D7EAE0BA-A27C-4336-B97E-62D03B09B7B0}" name="KPI" dataDxfId="53"/>
    <tableColumn id="2" xr3:uid="{2246E46E-A8D3-480F-B905-91BD13ABE8CD}" name="Result" dataDxfId="52"/>
  </tableColumns>
  <tableStyleInfo name="TableStyleDark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940A64C-168A-4FBF-8DEA-49F537862FF9}" name="Table8" displayName="Table8" ref="E1:G6" totalsRowShown="0" headerRowDxfId="51" headerRowBorderDxfId="50" tableBorderDxfId="49" totalsRowBorderDxfId="48">
  <autoFilter ref="E1:G6" xr:uid="{4940A64C-168A-4FBF-8DEA-49F537862FF9}"/>
  <tableColumns count="3">
    <tableColumn id="1" xr3:uid="{ED8AC5FB-BCE0-4907-9350-CE4F2F500BC2}" name="Sr" dataDxfId="47"/>
    <tableColumn id="2" xr3:uid="{9798FE0D-9AAC-43B0-8C18-29AAD470FAE4}" name="Data_Quality" dataDxfId="46"/>
    <tableColumn id="3" xr3:uid="{A61300E0-925F-4398-B56D-F62B9BC9534A}" name="Result" dataDxfId="45"/>
  </tableColumns>
  <tableStyleInfo name="TableStyleDark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D3494D7-BD50-4290-B891-D99A8ADDBFFE}" name="Table14" displayName="Table14" ref="A12:C21" totalsRowShown="0" headerRowDxfId="44">
  <autoFilter ref="A12:C21" xr:uid="{9D3494D7-BD50-4290-B891-D99A8ADDBFFE}"/>
  <tableColumns count="3">
    <tableColumn id="1" xr3:uid="{942C88FA-569B-4E45-8052-7BC8AF34FCBC}" name="Sr"/>
    <tableColumn id="2" xr3:uid="{FC0ADBD9-F422-43E9-8C35-25308023B0CE}" name="Analyses"/>
    <tableColumn id="3" xr3:uid="{87E55792-F670-433D-9D75-007241FEE2AB}" name="Result" dataDxfId="43"/>
  </tableColumns>
  <tableStyleInfo name="TableStyleDark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FF01EDB-C47A-4733-8C13-9B71E3D1B3A1}" name="Table9" displayName="Table9" ref="A1:E12" totalsRowShown="0" headerRowDxfId="42" headerRowBorderDxfId="41" tableBorderDxfId="40" totalsRowBorderDxfId="39">
  <autoFilter ref="A1:E12" xr:uid="{2FF01EDB-C47A-4733-8C13-9B71E3D1B3A1}"/>
  <tableColumns count="5">
    <tableColumn id="1" xr3:uid="{F9F7D379-94F8-4D2C-8E65-43BC39139D39}" name="Issue_ID" dataDxfId="38"/>
    <tableColumn id="2" xr3:uid="{7D3B0860-C813-4C4B-A046-165574E9B994}" name="Encounter_ID" dataDxfId="37"/>
    <tableColumn id="3" xr3:uid="{D5A335A8-4441-411E-A748-2AC6C8BCF0C8}" name="Issue_Type" dataDxfId="36"/>
    <tableColumn id="4" xr3:uid="{8500B4C6-2069-419D-83EA-F43475BAF041}" name="Original_Value" dataDxfId="35"/>
    <tableColumn id="6" xr3:uid="{516B52E1-1CA5-4265-8136-6A48276DB8D2}" name="Action_Taken" dataDxfId="2"/>
  </tableColumns>
  <tableStyleInfo name="TableStyleDark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96CAD75-2CA9-41F5-9252-CCFA7592F265}" name="Table15" displayName="Table15" ref="A1:R11" totalsRowShown="0" headerRowDxfId="23">
  <autoFilter ref="A1:R11" xr:uid="{B96CAD75-2CA9-41F5-9252-CCFA7592F265}"/>
  <tableColumns count="18">
    <tableColumn id="1" xr3:uid="{BDC240F0-33C5-40C5-A775-97D5C30D016C}" name="Hospital_ID" dataDxfId="22"/>
    <tableColumn id="2" xr3:uid="{DFFE7B69-7E30-4091-AACC-A638E30D4A26}" name="Hospital_Name">
      <calculatedColumnFormula array="1">_xlfn.XLOOKUP(A2,Table1[[#All],[Hospital_ID]],Table1[[#All],[Hospital_Name]])</calculatedColumnFormula>
    </tableColumn>
    <tableColumn id="3" xr3:uid="{FDB3C67A-B702-41B2-95B0-7D705C8E244A}" name="Country">
      <calculatedColumnFormula array="1">_xlfn.XLOOKUP(A2,Table1[[#All],[Hospital_ID]],Table1[[#All],[Country]])</calculatedColumnFormula>
    </tableColumn>
    <tableColumn id="4" xr3:uid="{3449D4C5-81D6-4C53-985E-5EB4E32A6997}" name="EHR_Adoption_Pct">
      <calculatedColumnFormula array="1">_xlfn.XLOOKUP(A2,Table1[[#All],[Hospital_ID]],Table1[[#All],[EHR_Adoption_Pct]])</calculatedColumnFormula>
    </tableColumn>
    <tableColumn id="5" xr3:uid="{E4E90F7D-EAC0-4958-AE83-F8E9504F17FB}" name="FHIR_Enabled">
      <calculatedColumnFormula array="1">_xlfn.XLOOKUP(A2,Table1[[#All],[Hospital_ID]],Table1[[#All],[FHIR_Enabled]])</calculatedColumnFormula>
    </tableColumn>
    <tableColumn id="6" xr3:uid="{9D34D507-6163-4A59-8431-7ADCA7E5CEED}" name="SNOMED_CT_Used">
      <calculatedColumnFormula array="1">_xlfn.XLOOKUP(A2,Table1[[#All],[Hospital_ID]],Table1[[#All],[SNOMED_CT]])</calculatedColumnFormula>
    </tableColumn>
    <tableColumn id="7" xr3:uid="{892042E2-6192-442E-B09A-F3299875564B}" name="LOINC_Used">
      <calculatedColumnFormula array="1">_xlfn.XLOOKUP(A2,Table1[[#All],[Hospital_ID]],Table1[[#All],[LOINC]])</calculatedColumnFormula>
    </tableColumn>
    <tableColumn id="8" xr3:uid="{0E7BD644-C4A5-434E-8021-99603907AD7F}" name="Patient_Portal">
      <calculatedColumnFormula array="1">_xlfn.XLOOKUP(A2,Table1[[#All],[Hospital_ID]],Table1[[#All],[Patient_Portal]])</calculatedColumnFormula>
    </tableColumn>
    <tableColumn id="9" xr3:uid="{09768AFF-0630-4AF9-9DCA-702437D967E9}" name="Digital_Training_Pct">
      <calculatedColumnFormula array="1">_xlfn.XLOOKUP(A2,Table1[[#All],[Hospital_ID]],Table1[[#All],[Digital_Training_Pct]])</calculatedColumnFormula>
    </tableColumn>
    <tableColumn id="10" xr3:uid="{5D965755-C242-4FEA-85B3-D0F22D32057D}" name="EHR_Score">
      <calculatedColumnFormula>D2*20</calculatedColumnFormula>
    </tableColumn>
    <tableColumn id="11" xr3:uid="{AD184777-4E2C-4186-BFE0-9CF68E564911}" name="FHIR_Score">
      <calculatedColumnFormula>IF(E2="Yes",20,IF(E2="Partial",10,0))</calculatedColumnFormula>
    </tableColumn>
    <tableColumn id="12" xr3:uid="{AFEF3A29-2BD0-440B-9992-93EAA4C567E3}" name="SNOMED_Score">
      <calculatedColumnFormula>IF(F2="Yes",15,IF(F2="Partial",7.5,0))</calculatedColumnFormula>
    </tableColumn>
    <tableColumn id="13" xr3:uid="{D67C4A86-F5E1-4C23-9B1A-694E35DABB5C}" name="LOINC_Score">
      <calculatedColumnFormula>IF(G2="Yes",10,IF(G2="Partial",5,0))</calculatedColumnFormula>
    </tableColumn>
    <tableColumn id="14" xr3:uid="{C7C3BFEB-17F5-451C-905A-3A41C171834E}" name="Portal_Score">
      <calculatedColumnFormula>IF(H2="Yes",10,IF(H2="Limited",5,0))</calculatedColumnFormula>
    </tableColumn>
    <tableColumn id="15" xr3:uid="{57AF417A-7741-4167-B647-52D1088A2F33}" name="Training_Score">
      <calculatedColumnFormula>I2*10</calculatedColumnFormula>
    </tableColumn>
    <tableColumn id="16" xr3:uid="{AE1BE792-5183-45CB-87D1-B471AED2FB15}" name="Overall_Readiness_Score">
      <calculatedColumnFormula>SUM(J2:O2)</calculatedColumnFormula>
    </tableColumn>
    <tableColumn id="17" xr3:uid="{4C6A315B-72CF-4E88-BBCD-7F707113D5B2}" name="Readiness_Level">
      <calculatedColumnFormula>IF(P2&gt;=80,"Advanced",IF(P2&gt;=60,"Developing",IF(P2&gt;=40,"Needs Improvement","Priority Intervention")))</calculatedColumnFormula>
    </tableColumn>
    <tableColumn id="18" xr3:uid="{1A41DF6E-6372-40D4-A9B1-82697E1548D0}" name="Priority_Flag">
      <calculatedColumnFormula>IF(P2&lt;60,"Management Priority","Routine Monitoring")</calculatedColumnFormula>
    </tableColumn>
  </tableColumns>
  <tableStyleInfo name="TableStyleDark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E3B05BF-FEB3-4419-B4C5-056E117144A0}" name="Table16" displayName="Table16" ref="B15:C25" totalsRowShown="0" headerRowDxfId="21">
  <autoFilter ref="B15:C25" xr:uid="{BE3B05BF-FEB3-4419-B4C5-056E117144A0}"/>
  <tableColumns count="2">
    <tableColumn id="1" xr3:uid="{D6B9B499-27AA-483E-A155-26F6C364D037}" name="Hospital_Name"/>
    <tableColumn id="2" xr3:uid="{1F6B8783-DEBE-4538-A4FE-CA1FDFF1D0CC}" name="Overall_Readiness_Score"/>
  </tableColumns>
  <tableStyleInfo name="TableStyleDark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CA4A96-5C9B-4AD8-B3DB-9195B0243779}" name="Table2" displayName="Table2" ref="A1:P11" totalsRowShown="0" headerRowDxfId="124">
  <autoFilter ref="A1:P11" xr:uid="{CFCA4A96-5C9B-4AD8-B3DB-9195B0243779}"/>
  <tableColumns count="16">
    <tableColumn id="1" xr3:uid="{1CA8D531-4DC2-47E7-9EAB-37608E96C291}" name="Hospital_ID" dataDxfId="123"/>
    <tableColumn id="2" xr3:uid="{0C127B32-891A-4FD6-9D1F-31FD76080F49}" name="Hospital_Name" dataDxfId="122"/>
    <tableColumn id="3" xr3:uid="{190304C8-ACBD-41B1-BEC0-44762793F990}" name="Total_Encounters">
      <calculatedColumnFormula>COUNTIF(tblEncounters5[[#All],[Hospital_ID]],'08_ROI_ANALYSIS'!A2)</calculatedColumnFormula>
    </tableColumn>
    <tableColumn id="4" xr3:uid="{C5EA9471-9846-4832-8170-CA614B0CBFF4}" name="Duplicate_Test_Count">
      <calculatedColumnFormula>COUNTIFS(tblEncounters5[[#All],[Hospital_ID]],'08_ROI_ANALYSIS'!A2,tblEncounters5[[#All],[Duplicate_Test]],"Yes")</calculatedColumnFormula>
    </tableColumn>
    <tableColumn id="5" xr3:uid="{2566590E-C81D-4E62-A8A2-0C380FC1A492}" name="Duplicate_Test_Rate" dataDxfId="121" dataCellStyle="Percent">
      <calculatedColumnFormula>D2/C2</calculatedColumnFormula>
    </tableColumn>
    <tableColumn id="6" xr3:uid="{4E90E8A9-10AF-476B-951C-D71D8AEA1860}" name="Estimated_Cost_Per_Duplicate_Test" dataDxfId="120">
      <calculatedColumnFormula>$B$161</calculatedColumnFormula>
    </tableColumn>
    <tableColumn id="7" xr3:uid="{5BF92696-9416-4003-96A5-D16770EFED8D}" name="Current_Duplicate_Test_Cost" dataDxfId="119">
      <calculatedColumnFormula>D2*F2</calculatedColumnFormula>
    </tableColumn>
    <tableColumn id="8" xr3:uid="{3282E99A-447A-4CAE-A2C3-B9D460FDA5E7}" name="Expected_Reduction_Pct" dataDxfId="118">
      <calculatedColumnFormula>$B$159</calculatedColumnFormula>
    </tableColumn>
    <tableColumn id="9" xr3:uid="{AE24986A-B7B1-440A-8EFF-458B9E855587}" name="Estimated_Period_Savings" dataDxfId="117">
      <calculatedColumnFormula>G2*H2</calculatedColumnFormula>
    </tableColumn>
    <tableColumn id="10" xr3:uid="{837FDEAC-1CE0-4AAA-BCA2-4B8C2E69F1B9}" name="Estimated_Annual_Savings" dataDxfId="116">
      <calculatedColumnFormula>I2*4</calculatedColumnFormula>
    </tableColumn>
    <tableColumn id="11" xr3:uid="{EE311BD5-A286-4709-A476-7FAA3ACB5BAB}" name="Interoperability_Investment" dataDxfId="115">
      <calculatedColumnFormula>IF(L2&gt;=500,50000,IF(L2&gt;=250,35000,20000))</calculatedColumnFormula>
    </tableColumn>
    <tableColumn id="12" xr3:uid="{53AE764E-5102-48E7-A204-787EA5A51DE0}" name="Beds">
      <calculatedColumnFormula array="1">_xlfn.XLOOKUP('08_ROI_ANALYSIS'!A2,Table1[[#All],[Hospital_ID]],Table1[[#All],[Beds]],"Not Found")</calculatedColumnFormula>
    </tableColumn>
    <tableColumn id="13" xr3:uid="{D1F469F1-A73D-4482-B7A9-7FD2D092A32F}" name="Net_First_Year_Benefit" dataDxfId="114">
      <calculatedColumnFormula>J2-K2</calculatedColumnFormula>
    </tableColumn>
    <tableColumn id="14" xr3:uid="{2CA623C6-9BC0-4588-A8B3-5B78A47CE36A}" name="ROI_Pct" dataDxfId="113">
      <calculatedColumnFormula>M2/K2*100</calculatedColumnFormula>
    </tableColumn>
    <tableColumn id="15" xr3:uid="{AD892EAD-C17A-465C-AFAF-F6B5AE5831A2}" name="Payback_Period_Years" dataDxfId="112">
      <calculatedColumnFormula>IF(J2&gt;0,K2/J2,"NA")</calculatedColumnFormula>
    </tableColumn>
    <tableColumn id="16" xr3:uid="{B0EC070B-B1FF-49E7-BA39-385AE1DB2F58}" name="Investment_Priority">
      <calculatedColumnFormula>IF(AND(Table15[[#This Row],[Overall_Readiness_Score]]&lt;60,'08_ROI_ANALYSIS'!E2&gt;=10%),"High Priority",IF(OR(Table15[[#This Row],[Overall_Readiness_Score]]&lt;70,'08_ROI_ANALYSIS'!E2&gt;=5%),"Medium Priority","Routine"))</calculatedColumnFormula>
    </tableColumn>
  </tableColumns>
  <tableStyleInfo name="TableStyleDark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970B23F-8E1F-4AE1-9B65-D9AFF71CF6A7}" name="Table10" displayName="Table10" ref="E15:E25" totalsRowShown="0" headerRowDxfId="111" dataDxfId="0">
  <autoFilter ref="E15:E25" xr:uid="{F970B23F-8E1F-4AE1-9B65-D9AFF71CF6A7}"/>
  <tableColumns count="1">
    <tableColumn id="1" xr3:uid="{0AAD1030-D1A2-474D-82C9-CB265647D775}" name="Estimated_Annual_Savings" dataDxfId="1"/>
  </tableColumns>
  <tableStyleInfo name="TableStyleDark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46F41C6-75BF-4CE7-A2F7-F015B4511259}" name="Table11" displayName="Table11" ref="E29:E39" totalsRowShown="0" headerRowDxfId="110">
  <autoFilter ref="E29:E39" xr:uid="{F46F41C6-75BF-4CE7-A2F7-F015B4511259}"/>
  <tableColumns count="1">
    <tableColumn id="1" xr3:uid="{4CD4AE54-90B9-4258-91F4-DDEEF6CAF0F8}" name="ROI_Pct"/>
  </tableColumns>
  <tableStyleInfo name="TableStyleDark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A8CF1B6-A389-420F-BCCC-0F53886633DE}" name="Table12" displayName="Table12" ref="A46:D50" totalsRowShown="0" headerRowDxfId="109" dataDxfId="108">
  <autoFilter ref="A46:D50" xr:uid="{0A8CF1B6-A389-420F-BCCC-0F53886633DE}"/>
  <tableColumns count="4">
    <tableColumn id="1" xr3:uid="{88546376-0E50-4BF8-924C-F03CDD2C0988}" name="Priority" dataDxfId="107"/>
    <tableColumn id="2" xr3:uid="{35BCE3F9-EEFF-40AF-B95D-1539DF2BA72A}" name="Hospital(s)" dataDxfId="106"/>
    <tableColumn id="3" xr3:uid="{0AC11C1A-BF54-4EC1-A24C-00FB8FC6EA64}" name="Why it matters" dataDxfId="105"/>
    <tableColumn id="4" xr3:uid="{DFDB5C51-A887-44A1-ACBE-C2792494D3AC}" name="CEO recommendation" dataDxfId="104"/>
  </tableColumns>
  <tableStyleInfo name="TableStyleDark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BDF94F8-1CE9-4E40-BB27-A3F148D62D1A}" name="Table13" displayName="Table13" ref="K10:L20" totalsRowShown="0">
  <autoFilter ref="K10:L20" xr:uid="{4BDF94F8-1CE9-4E40-BB27-A3F148D62D1A}"/>
  <tableColumns count="2">
    <tableColumn id="1" xr3:uid="{68B33370-276B-47D9-A009-F6A229A8AD96}" name="Hospital_Name" dataDxfId="4"/>
    <tableColumn id="2" xr3:uid="{70508F26-BD7F-4CD0-BE1A-73CB616574B9}" name="Estimated_Annual_Savings" dataDxfId="3"/>
  </tableColumns>
  <tableStyleInfo name="TableStyleDark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4" Type="http://schemas.openxmlformats.org/officeDocument/2006/relationships/table" Target="../tables/table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3.xml"/><Relationship Id="rId5" Type="http://schemas.openxmlformats.org/officeDocument/2006/relationships/table" Target="../tables/table15.xml"/><Relationship Id="rId4"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CE77D-D0AA-4B68-AE11-1D125FD6549E}">
  <sheetPr>
    <tabColor rgb="FF660033"/>
  </sheetPr>
  <dimension ref="A1:N23"/>
  <sheetViews>
    <sheetView workbookViewId="0">
      <selection activeCell="F16" sqref="F16"/>
    </sheetView>
  </sheetViews>
  <sheetFormatPr defaultRowHeight="14.4"/>
  <cols>
    <col min="1" max="1" width="12.5546875" customWidth="1"/>
    <col min="2" max="2" width="39.33203125" bestFit="1" customWidth="1"/>
    <col min="3" max="3" width="11.88671875" bestFit="1" customWidth="1"/>
    <col min="4" max="4" width="25.21875" bestFit="1" customWidth="1"/>
    <col min="5" max="5" width="7" customWidth="1"/>
    <col min="6" max="6" width="15.33203125" bestFit="1" customWidth="1"/>
    <col min="7" max="7" width="18.21875" customWidth="1"/>
    <col min="8" max="8" width="14.44140625" customWidth="1"/>
    <col min="9" max="9" width="13.21875" customWidth="1"/>
    <col min="10" max="10" width="8.21875" customWidth="1"/>
    <col min="11" max="11" width="14.6640625" customWidth="1"/>
    <col min="12" max="13" width="19.21875" customWidth="1"/>
    <col min="14" max="14" width="25.5546875" bestFit="1" customWidth="1"/>
  </cols>
  <sheetData>
    <row r="1" spans="1:14">
      <c r="A1" s="2" t="s">
        <v>0</v>
      </c>
      <c r="B1" s="2" t="s">
        <v>1</v>
      </c>
      <c r="C1" s="2" t="s">
        <v>2</v>
      </c>
      <c r="D1" s="2" t="s">
        <v>3</v>
      </c>
      <c r="E1" s="2" t="s">
        <v>4</v>
      </c>
      <c r="F1" s="2" t="s">
        <v>5</v>
      </c>
      <c r="G1" s="2" t="s">
        <v>51</v>
      </c>
      <c r="H1" s="2" t="s">
        <v>6</v>
      </c>
      <c r="I1" s="2" t="s">
        <v>7</v>
      </c>
      <c r="J1" s="2" t="s">
        <v>8</v>
      </c>
      <c r="K1" s="2" t="s">
        <v>9</v>
      </c>
      <c r="L1" s="2" t="s">
        <v>10</v>
      </c>
      <c r="M1" s="6" t="s">
        <v>67</v>
      </c>
      <c r="N1" s="2" t="s">
        <v>66</v>
      </c>
    </row>
    <row r="2" spans="1:14">
      <c r="A2" t="s">
        <v>11</v>
      </c>
      <c r="B2" t="s">
        <v>21</v>
      </c>
      <c r="C2" t="s">
        <v>22</v>
      </c>
      <c r="D2" t="s">
        <v>41</v>
      </c>
      <c r="E2">
        <v>720</v>
      </c>
      <c r="F2" t="s">
        <v>46</v>
      </c>
      <c r="G2" s="3">
        <v>0.96</v>
      </c>
      <c r="H2" t="s">
        <v>53</v>
      </c>
      <c r="I2" t="s">
        <v>53</v>
      </c>
      <c r="J2" t="s">
        <v>53</v>
      </c>
      <c r="K2" t="s">
        <v>53</v>
      </c>
      <c r="L2" s="3">
        <v>0.91</v>
      </c>
      <c r="M2" s="3" t="str">
        <f>IF(AND(Table1[[#This Row],[EHR_Adoption_Pct]]&gt;=90%,Table1[[#This Row],[FHIR_Enabled]]&lt;&gt;"Yes"),"High Adoption - Interoperability  Gap","No Major Gap")</f>
        <v>No Major Gap</v>
      </c>
      <c r="N2" t="str">
        <f>IF(Table1[[#This Row],[EHR_Adoption_Pct]]&gt;=90%,"Advanced",IF(Table1[[#This Row],[EHR_Adoption_Pct]]&gt;=75%,"Developing","Needs Improvement"))</f>
        <v>Advanced</v>
      </c>
    </row>
    <row r="3" spans="1:14">
      <c r="A3" t="s">
        <v>12</v>
      </c>
      <c r="B3" t="s">
        <v>23</v>
      </c>
      <c r="C3" t="s">
        <v>27</v>
      </c>
      <c r="D3" t="s">
        <v>42</v>
      </c>
      <c r="E3">
        <v>460</v>
      </c>
      <c r="F3" t="s">
        <v>47</v>
      </c>
      <c r="G3" s="3">
        <v>0.93</v>
      </c>
      <c r="H3" t="s">
        <v>53</v>
      </c>
      <c r="I3" t="s">
        <v>53</v>
      </c>
      <c r="J3" t="s">
        <v>53</v>
      </c>
      <c r="K3" t="s">
        <v>53</v>
      </c>
      <c r="L3" s="3">
        <v>0.88</v>
      </c>
      <c r="M3" s="3" t="str">
        <f>IF(AND(Table1[[#This Row],[EHR_Adoption_Pct]]&gt;=90%,Table1[[#This Row],[FHIR_Enabled]]&lt;&gt;"Yes"),"High Adoption - Interoperability  Gap","No Major Gap")</f>
        <v>No Major Gap</v>
      </c>
      <c r="N3" t="str">
        <f>IF(Table1[[#This Row],[EHR_Adoption_Pct]]&gt;=90%,"Advanced",IF(Table1[[#This Row],[EHR_Adoption_Pct]]&gt;=75%,"Developing","Needs Improvement"))</f>
        <v>Advanced</v>
      </c>
    </row>
    <row r="4" spans="1:14">
      <c r="A4" t="s">
        <v>13</v>
      </c>
      <c r="B4" t="s">
        <v>24</v>
      </c>
      <c r="C4" t="s">
        <v>28</v>
      </c>
      <c r="D4" t="s">
        <v>43</v>
      </c>
      <c r="E4">
        <v>380</v>
      </c>
      <c r="F4" t="s">
        <v>46</v>
      </c>
      <c r="G4" s="3">
        <v>0.84</v>
      </c>
      <c r="H4" t="s">
        <v>52</v>
      </c>
      <c r="I4" t="s">
        <v>52</v>
      </c>
      <c r="J4" t="s">
        <v>53</v>
      </c>
      <c r="K4" t="s">
        <v>55</v>
      </c>
      <c r="L4" s="3">
        <v>0.72</v>
      </c>
      <c r="M4" s="3" t="str">
        <f>IF(AND(Table1[[#This Row],[EHR_Adoption_Pct]]&gt;=90%,Table1[[#This Row],[FHIR_Enabled]]&lt;&gt;"Yes"),"High Adoption - Interoperability  Gap","No Major Gap")</f>
        <v>No Major Gap</v>
      </c>
      <c r="N4" t="str">
        <f>IF(Table1[[#This Row],[EHR_Adoption_Pct]]&gt;=90%,"Advanced",IF(Table1[[#This Row],[EHR_Adoption_Pct]]&gt;=75%,"Developing","Needs Improvement"))</f>
        <v>Developing</v>
      </c>
    </row>
    <row r="5" spans="1:14">
      <c r="A5" t="s">
        <v>14</v>
      </c>
      <c r="B5" t="s">
        <v>25</v>
      </c>
      <c r="C5" t="s">
        <v>29</v>
      </c>
      <c r="D5" t="s">
        <v>44</v>
      </c>
      <c r="E5">
        <v>290</v>
      </c>
      <c r="F5" t="s">
        <v>48</v>
      </c>
      <c r="G5" s="3">
        <v>0.89</v>
      </c>
      <c r="H5" t="s">
        <v>53</v>
      </c>
      <c r="I5" t="s">
        <v>53</v>
      </c>
      <c r="J5" t="s">
        <v>52</v>
      </c>
      <c r="K5" t="s">
        <v>53</v>
      </c>
      <c r="L5" s="3">
        <v>0.79</v>
      </c>
      <c r="M5" s="3" t="str">
        <f>IF(AND(Table1[[#This Row],[EHR_Adoption_Pct]]&gt;=90%,Table1[[#This Row],[FHIR_Enabled]]&lt;&gt;"Yes"),"High Adoption - Interoperability  Gap","No Major Gap")</f>
        <v>No Major Gap</v>
      </c>
      <c r="N5" t="str">
        <f>IF(Table1[[#This Row],[EHR_Adoption_Pct]]&gt;=90%,"Advanced",IF(Table1[[#This Row],[EHR_Adoption_Pct]]&gt;=75%,"Developing","Needs Improvement"))</f>
        <v>Developing</v>
      </c>
    </row>
    <row r="6" spans="1:14">
      <c r="A6" t="s">
        <v>15</v>
      </c>
      <c r="B6" t="s">
        <v>26</v>
      </c>
      <c r="C6" t="s">
        <v>30</v>
      </c>
      <c r="D6" t="s">
        <v>45</v>
      </c>
      <c r="E6">
        <v>650</v>
      </c>
      <c r="F6" t="s">
        <v>49</v>
      </c>
      <c r="G6" s="3">
        <v>0.94</v>
      </c>
      <c r="H6" t="s">
        <v>53</v>
      </c>
      <c r="I6" t="s">
        <v>53</v>
      </c>
      <c r="J6" t="s">
        <v>53</v>
      </c>
      <c r="K6" t="s">
        <v>53</v>
      </c>
      <c r="L6" s="3">
        <v>0.86</v>
      </c>
      <c r="M6" s="3" t="str">
        <f>IF(AND(Table1[[#This Row],[EHR_Adoption_Pct]]&gt;=90%,Table1[[#This Row],[FHIR_Enabled]]&lt;&gt;"Yes"),"High Adoption - Interoperability  Gap","No Major Gap")</f>
        <v>No Major Gap</v>
      </c>
      <c r="N6" t="str">
        <f>IF(Table1[[#This Row],[EHR_Adoption_Pct]]&gt;=90%,"Advanced",IF(Table1[[#This Row],[EHR_Adoption_Pct]]&gt;=75%,"Developing","Needs Improvement"))</f>
        <v>Advanced</v>
      </c>
    </row>
    <row r="7" spans="1:14">
      <c r="A7" t="s">
        <v>16</v>
      </c>
      <c r="B7" t="s">
        <v>36</v>
      </c>
      <c r="C7" t="s">
        <v>31</v>
      </c>
      <c r="D7" t="s">
        <v>43</v>
      </c>
      <c r="E7">
        <v>410</v>
      </c>
      <c r="F7" t="s">
        <v>47</v>
      </c>
      <c r="G7" s="3">
        <v>0.97</v>
      </c>
      <c r="H7" t="s">
        <v>53</v>
      </c>
      <c r="I7" t="s">
        <v>53</v>
      </c>
      <c r="J7" t="s">
        <v>53</v>
      </c>
      <c r="K7" t="s">
        <v>53</v>
      </c>
      <c r="L7" s="3">
        <v>0.93</v>
      </c>
      <c r="M7" s="3" t="str">
        <f>IF(AND(Table1[[#This Row],[EHR_Adoption_Pct]]&gt;=90%,Table1[[#This Row],[FHIR_Enabled]]&lt;&gt;"Yes"),"High Adoption - Interoperability  Gap","No Major Gap")</f>
        <v>No Major Gap</v>
      </c>
      <c r="N7" t="str">
        <f>IF(Table1[[#This Row],[EHR_Adoption_Pct]]&gt;=90%,"Advanced",IF(Table1[[#This Row],[EHR_Adoption_Pct]]&gt;=75%,"Developing","Needs Improvement"))</f>
        <v>Advanced</v>
      </c>
    </row>
    <row r="8" spans="1:14">
      <c r="A8" t="s">
        <v>17</v>
      </c>
      <c r="B8" t="s">
        <v>37</v>
      </c>
      <c r="C8" t="s">
        <v>32</v>
      </c>
      <c r="D8" t="s">
        <v>41</v>
      </c>
      <c r="E8">
        <v>210</v>
      </c>
      <c r="F8" t="s">
        <v>48</v>
      </c>
      <c r="G8" s="3">
        <v>0.78</v>
      </c>
      <c r="H8" t="s">
        <v>52</v>
      </c>
      <c r="I8" t="s">
        <v>52</v>
      </c>
      <c r="J8" t="s">
        <v>52</v>
      </c>
      <c r="K8" t="s">
        <v>52</v>
      </c>
      <c r="L8" s="3">
        <v>0.66</v>
      </c>
      <c r="M8" s="3" t="str">
        <f>IF(AND(Table1[[#This Row],[EHR_Adoption_Pct]]&gt;=90%,Table1[[#This Row],[FHIR_Enabled]]&lt;&gt;"Yes"),"High Adoption - Interoperability  Gap","No Major Gap")</f>
        <v>No Major Gap</v>
      </c>
      <c r="N8" t="str">
        <f>IF(Table1[[#This Row],[EHR_Adoption_Pct]]&gt;=90%,"Advanced",IF(Table1[[#This Row],[EHR_Adoption_Pct]]&gt;=75%,"Developing","Needs Improvement"))</f>
        <v>Developing</v>
      </c>
    </row>
    <row r="9" spans="1:14">
      <c r="A9" t="s">
        <v>18</v>
      </c>
      <c r="B9" t="s">
        <v>38</v>
      </c>
      <c r="C9" t="s">
        <v>33</v>
      </c>
      <c r="D9" t="s">
        <v>41</v>
      </c>
      <c r="E9">
        <v>520</v>
      </c>
      <c r="F9" t="s">
        <v>46</v>
      </c>
      <c r="G9" s="3">
        <v>0.86</v>
      </c>
      <c r="H9" t="s">
        <v>53</v>
      </c>
      <c r="I9" t="s">
        <v>53</v>
      </c>
      <c r="J9" t="s">
        <v>52</v>
      </c>
      <c r="K9" t="s">
        <v>53</v>
      </c>
      <c r="L9" s="3">
        <v>0.74</v>
      </c>
      <c r="M9" s="3" t="str">
        <f>IF(AND(Table1[[#This Row],[EHR_Adoption_Pct]]&gt;=90%,Table1[[#This Row],[FHIR_Enabled]]&lt;&gt;"Yes"),"High Adoption - Interoperability  Gap","No Major Gap")</f>
        <v>No Major Gap</v>
      </c>
      <c r="N9" t="str">
        <f>IF(Table1[[#This Row],[EHR_Adoption_Pct]]&gt;=90%,"Advanced",IF(Table1[[#This Row],[EHR_Adoption_Pct]]&gt;=75%,"Developing","Needs Improvement"))</f>
        <v>Developing</v>
      </c>
    </row>
    <row r="10" spans="1:14">
      <c r="A10" t="s">
        <v>19</v>
      </c>
      <c r="B10" t="s">
        <v>39</v>
      </c>
      <c r="C10" t="s">
        <v>34</v>
      </c>
      <c r="D10" t="s">
        <v>42</v>
      </c>
      <c r="E10">
        <v>340</v>
      </c>
      <c r="F10" t="s">
        <v>50</v>
      </c>
      <c r="G10" s="3">
        <v>0.73</v>
      </c>
      <c r="H10" t="s">
        <v>52</v>
      </c>
      <c r="I10" t="s">
        <v>52</v>
      </c>
      <c r="J10" t="s">
        <v>54</v>
      </c>
      <c r="K10" t="s">
        <v>55</v>
      </c>
      <c r="L10" s="3">
        <v>0.57999999999999996</v>
      </c>
      <c r="M10" s="3" t="str">
        <f>IF(AND(Table1[[#This Row],[EHR_Adoption_Pct]]&gt;=90%,Table1[[#This Row],[FHIR_Enabled]]&lt;&gt;"Yes"),"High Adoption - Interoperability  Gap","No Major Gap")</f>
        <v>No Major Gap</v>
      </c>
      <c r="N10" t="str">
        <f>IF(Table1[[#This Row],[EHR_Adoption_Pct]]&gt;=90%,"Advanced",IF(Table1[[#This Row],[EHR_Adoption_Pct]]&gt;=75%,"Developing","Needs Improvement"))</f>
        <v>Needs Improvement</v>
      </c>
    </row>
    <row r="11" spans="1:14">
      <c r="A11" t="s">
        <v>20</v>
      </c>
      <c r="B11" t="s">
        <v>40</v>
      </c>
      <c r="C11" t="s">
        <v>35</v>
      </c>
      <c r="D11" t="s">
        <v>41</v>
      </c>
      <c r="E11">
        <v>180</v>
      </c>
      <c r="F11" t="s">
        <v>49</v>
      </c>
      <c r="G11" s="3">
        <v>0.69</v>
      </c>
      <c r="H11" t="s">
        <v>54</v>
      </c>
      <c r="I11" t="s">
        <v>54</v>
      </c>
      <c r="J11" t="s">
        <v>52</v>
      </c>
      <c r="K11" t="s">
        <v>54</v>
      </c>
      <c r="L11" s="3">
        <v>0.51</v>
      </c>
      <c r="M11" s="3" t="str">
        <f>IF(AND(Table1[[#This Row],[EHR_Adoption_Pct]]&gt;=90%,Table1[[#This Row],[FHIR_Enabled]]&lt;&gt;"Yes"),"High Adoption - Interoperability  Gap","No Major Gap")</f>
        <v>No Major Gap</v>
      </c>
      <c r="N11" t="str">
        <f>IF(Table1[[#This Row],[EHR_Adoption_Pct]]&gt;=90%,"Advanced",IF(Table1[[#This Row],[EHR_Adoption_Pct]]&gt;=75%,"Developing","Needs Improvement"))</f>
        <v>Needs Improvement</v>
      </c>
    </row>
    <row r="16" spans="1:14">
      <c r="A16" s="15" t="s">
        <v>208</v>
      </c>
      <c r="B16" s="15" t="s">
        <v>209</v>
      </c>
      <c r="C16" s="15" t="s">
        <v>202</v>
      </c>
    </row>
    <row r="17" spans="1:3">
      <c r="A17" s="16" t="s">
        <v>56</v>
      </c>
      <c r="B17" s="16" t="s">
        <v>57</v>
      </c>
      <c r="C17" s="17">
        <f>COUNTIF(Table1[[#All],[FHIR_Enabled]],H2)</f>
        <v>6</v>
      </c>
    </row>
    <row r="18" spans="1:3">
      <c r="A18" s="16" t="s">
        <v>59</v>
      </c>
      <c r="B18" s="16" t="s">
        <v>58</v>
      </c>
      <c r="C18" s="17">
        <f>AVERAGE(Table1[EHR_Adoption_Pct])</f>
        <v>0.85899999999999999</v>
      </c>
    </row>
    <row r="19" spans="1:3">
      <c r="A19" s="16" t="s">
        <v>60</v>
      </c>
      <c r="B19" s="16" t="s">
        <v>61</v>
      </c>
      <c r="C19" s="18">
        <f>AVERAGE(Table1[Digital_Training_Pct])</f>
        <v>0.75800000000000001</v>
      </c>
    </row>
    <row r="20" spans="1:3">
      <c r="A20" s="16" t="s">
        <v>62</v>
      </c>
      <c r="B20" s="16" t="s">
        <v>63</v>
      </c>
      <c r="C20" s="17">
        <f>COUNTIF(Table1[[#All],[SNOMED_CT]],I2)</f>
        <v>6</v>
      </c>
    </row>
    <row r="21" spans="1:3">
      <c r="A21" s="16"/>
      <c r="B21" s="16"/>
      <c r="C21" s="17"/>
    </row>
    <row r="22" spans="1:3" ht="27.6" customHeight="1">
      <c r="A22" s="19" t="s">
        <v>64</v>
      </c>
      <c r="B22" s="20" t="s">
        <v>65</v>
      </c>
      <c r="C22" s="17" t="str" cm="1">
        <f t="array" ref="C22">IF(AND(Table1[[#All],[EHR_Adoption_Pct]]&gt;=90%,Table1[[#All],[FHIR_Enabled]]&lt;&gt;"Yes"),"High Adoption - Interoperability Gap","No Major Gap")</f>
        <v>No Major Gap</v>
      </c>
    </row>
    <row r="23" spans="1:3">
      <c r="A23" s="7"/>
      <c r="B23" s="8"/>
      <c r="C23" s="7"/>
    </row>
  </sheetData>
  <phoneticPr fontId="5" type="noConversion"/>
  <conditionalFormatting sqref="G1:G11">
    <cfRule type="dataBar" priority="2">
      <dataBar>
        <cfvo type="min"/>
        <cfvo type="max"/>
        <color rgb="FF63C384"/>
      </dataBar>
      <extLst>
        <ext xmlns:x14="http://schemas.microsoft.com/office/spreadsheetml/2009/9/main" uri="{B025F937-C7B1-47D3-B67F-A62EFF666E3E}">
          <x14:id>{180B1580-86D1-4CFA-9E2F-D38D3EE9E34A}</x14:id>
        </ext>
      </extLst>
    </cfRule>
  </conditionalFormatting>
  <conditionalFormatting sqref="L2:M11 L1">
    <cfRule type="dataBar" priority="1">
      <dataBar>
        <cfvo type="min"/>
        <cfvo type="max"/>
        <color rgb="FF63C384"/>
      </dataBar>
      <extLst>
        <ext xmlns:x14="http://schemas.microsoft.com/office/spreadsheetml/2009/9/main" uri="{B025F937-C7B1-47D3-B67F-A62EFF666E3E}">
          <x14:id>{D52EA864-ED8A-457A-9122-B9DE8E820B92}</x14:id>
        </ext>
      </extLst>
    </cfRule>
  </conditionalFormatting>
  <dataValidations count="5">
    <dataValidation type="list" allowBlank="1" showInputMessage="1" showErrorMessage="1" sqref="H2:H11" xr:uid="{6C3B5201-5B0F-4780-85AA-96794D4FA835}">
      <formula1>$H$2:$H$11</formula1>
    </dataValidation>
    <dataValidation type="list" allowBlank="1" showInputMessage="1" showErrorMessage="1" sqref="D2:D11" xr:uid="{9357B442-2947-40D5-8E0B-D591B63C378D}">
      <formula1>$D$2:$D$11</formula1>
    </dataValidation>
    <dataValidation type="list" allowBlank="1" showInputMessage="1" showErrorMessage="1" sqref="I2:I11" xr:uid="{4DEE37DA-F337-4925-BD4D-2675E34AA512}">
      <formula1>$I$2:$I$11</formula1>
    </dataValidation>
    <dataValidation type="list" allowBlank="1" showInputMessage="1" showErrorMessage="1" sqref="J2:J11" xr:uid="{44BC7E63-657B-4FE3-9AB6-9AEC999F69C7}">
      <formula1>$J$2:$J$11</formula1>
    </dataValidation>
    <dataValidation type="list" allowBlank="1" showInputMessage="1" showErrorMessage="1" sqref="K2:K11" xr:uid="{3E6103B6-44E6-4048-AFA5-C7A044F555A2}">
      <formula1>$K$2:$K$11</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80B1580-86D1-4CFA-9E2F-D38D3EE9E34A}">
            <x14:dataBar minLength="0" maxLength="100" gradient="0">
              <x14:cfvo type="autoMin"/>
              <x14:cfvo type="autoMax"/>
              <x14:negativeFillColor rgb="FFFF0000"/>
              <x14:axisColor rgb="FF000000"/>
            </x14:dataBar>
          </x14:cfRule>
          <xm:sqref>G1:G11</xm:sqref>
        </x14:conditionalFormatting>
        <x14:conditionalFormatting xmlns:xm="http://schemas.microsoft.com/office/excel/2006/main">
          <x14:cfRule type="dataBar" id="{D52EA864-ED8A-457A-9122-B9DE8E820B92}">
            <x14:dataBar minLength="0" maxLength="100" gradient="0">
              <x14:cfvo type="autoMin"/>
              <x14:cfvo type="autoMax"/>
              <x14:negativeFillColor rgb="FFFF0000"/>
              <x14:axisColor rgb="FF000000"/>
            </x14:dataBar>
          </x14:cfRule>
          <xm:sqref>L2:M11 L1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A2256-6A3D-4D63-87AF-A2F6A973B37F}">
  <sheetPr>
    <tabColor rgb="FF660033"/>
  </sheetPr>
  <dimension ref="A1:S51"/>
  <sheetViews>
    <sheetView workbookViewId="0">
      <selection activeCell="B17" sqref="B17"/>
    </sheetView>
  </sheetViews>
  <sheetFormatPr defaultRowHeight="14.4"/>
  <cols>
    <col min="1" max="1" width="14.77734375" customWidth="1"/>
    <col min="2" max="2" width="11.44140625" customWidth="1"/>
    <col min="3" max="3" width="12.5546875" customWidth="1"/>
    <col min="4" max="4" width="5.88671875" customWidth="1"/>
    <col min="5" max="5" width="11.77734375" customWidth="1"/>
    <col min="6" max="6" width="7" bestFit="1" customWidth="1"/>
    <col min="7" max="7" width="15.21875" bestFit="1" customWidth="1"/>
    <col min="8" max="9" width="16.33203125" customWidth="1"/>
    <col min="10" max="10" width="15.77734375" customWidth="1"/>
    <col min="11" max="11" width="11" customWidth="1"/>
    <col min="12" max="12" width="17.6640625" customWidth="1"/>
    <col min="13" max="13" width="21.44140625" customWidth="1"/>
    <col min="14" max="14" width="24.6640625" customWidth="1"/>
    <col min="15" max="15" width="15.21875" customWidth="1"/>
    <col min="16" max="16" width="17.77734375" customWidth="1"/>
    <col min="17" max="17" width="30" bestFit="1" customWidth="1"/>
    <col min="18" max="18" width="10.33203125" bestFit="1" customWidth="1"/>
    <col min="19" max="19" width="14.109375" bestFit="1" customWidth="1"/>
  </cols>
  <sheetData>
    <row r="1" spans="1:19">
      <c r="A1" s="12" t="s">
        <v>68</v>
      </c>
      <c r="B1" s="13" t="s">
        <v>69</v>
      </c>
      <c r="C1" s="13" t="s">
        <v>0</v>
      </c>
      <c r="D1" s="13" t="s">
        <v>70</v>
      </c>
      <c r="E1" s="13" t="s">
        <v>71</v>
      </c>
      <c r="F1" s="13" t="s">
        <v>72</v>
      </c>
      <c r="G1" s="13" t="s">
        <v>73</v>
      </c>
      <c r="H1" s="13" t="s">
        <v>74</v>
      </c>
      <c r="I1" s="13" t="s">
        <v>75</v>
      </c>
      <c r="J1" s="13" t="s">
        <v>76</v>
      </c>
      <c r="K1" s="13" t="s">
        <v>77</v>
      </c>
      <c r="L1" s="13" t="s">
        <v>78</v>
      </c>
      <c r="M1" s="13" t="s">
        <v>79</v>
      </c>
      <c r="N1" s="13" t="s">
        <v>80</v>
      </c>
      <c r="O1" s="13" t="s">
        <v>81</v>
      </c>
      <c r="P1" s="13" t="s">
        <v>82</v>
      </c>
      <c r="Q1" s="12" t="s">
        <v>1</v>
      </c>
      <c r="R1" s="12" t="s">
        <v>2</v>
      </c>
      <c r="S1" s="12" t="s">
        <v>198</v>
      </c>
    </row>
    <row r="2" spans="1:19">
      <c r="A2" t="s">
        <v>83</v>
      </c>
      <c r="B2" t="s">
        <v>133</v>
      </c>
      <c r="C2" t="s">
        <v>11</v>
      </c>
      <c r="D2">
        <v>34</v>
      </c>
      <c r="E2" t="str">
        <f>IF(tblEncounters[[#This Row],[Age]]&lt;30,"18-29",IF(tblEncounters[[#This Row],[Age]]&lt;45,"30-44",IF(tblEncounters[[#This Row],[Age]]&lt;60,"45-59",IF(tblEncounters[[#This Row],[Age]]&lt;75,"60-74","75+"))))</f>
        <v>30-44</v>
      </c>
      <c r="F2" t="s">
        <v>184</v>
      </c>
      <c r="G2" t="s">
        <v>185</v>
      </c>
      <c r="H2" t="s">
        <v>191</v>
      </c>
      <c r="I2" s="10">
        <v>46074</v>
      </c>
      <c r="J2" s="10">
        <f ca="1">tblEncounters[[#This Row],[Admission_Date]]+RANDBETWEEN(1,12)</f>
        <v>46085</v>
      </c>
      <c r="K2">
        <f ca="1">tblEncounters[[#This Row],[Discharge_Date]]-tblEncounters[[#This Row],[Admission_Date]]</f>
        <v>11</v>
      </c>
      <c r="L2" s="10" t="s">
        <v>53</v>
      </c>
      <c r="M2" s="9" t="s">
        <v>193</v>
      </c>
      <c r="N2" t="s">
        <v>53</v>
      </c>
      <c r="O2" t="s">
        <v>53</v>
      </c>
      <c r="P2" t="s">
        <v>53</v>
      </c>
      <c r="Q2" t="str">
        <f>_xlfn.XLOOKUP(tblEncounters[[#This Row],[Hospital_ID]],Table1[Hospital_ID],Table1[Hospital_Name],"Not Found")</f>
        <v>Nova Medical Centre</v>
      </c>
      <c r="R2" t="str">
        <f>_xlfn.XLOOKUP(tblEncounters[[#This Row],[Hospital_ID]],Table1[Hospital_ID],Table1[Country],"Not Found")</f>
        <v>Germany</v>
      </c>
      <c r="S2" t="str">
        <f>_xlfn.XLOOKUP(tblEncounters[[#This Row],[Hospital_ID]],Table1[Hospital_ID],Table1[FHIR_Enabled],"Not Found")</f>
        <v>Yes</v>
      </c>
    </row>
    <row r="3" spans="1:19">
      <c r="A3" t="s">
        <v>84</v>
      </c>
      <c r="B3" t="s">
        <v>134</v>
      </c>
      <c r="C3" t="s">
        <v>12</v>
      </c>
      <c r="D3">
        <v>72</v>
      </c>
      <c r="E3" t="str">
        <f>IF(tblEncounters[[#This Row],[Age]]&lt;30,"18-29",IF(tblEncounters[[#This Row],[Age]]&lt;45,"30-44",IF(tblEncounters[[#This Row],[Age]]&lt;60,"45-59",IF(tblEncounters[[#This Row],[Age]]&lt;75,"60-74","75+"))))</f>
        <v>60-74</v>
      </c>
      <c r="F3" t="s">
        <v>183</v>
      </c>
      <c r="G3" t="s">
        <v>186</v>
      </c>
      <c r="H3" t="s">
        <v>192</v>
      </c>
      <c r="I3" s="10">
        <v>46109</v>
      </c>
      <c r="J3" s="10">
        <f ca="1">tblEncounters[[#This Row],[Admission_Date]]+RANDBETWEEN(1,12)</f>
        <v>46116</v>
      </c>
      <c r="K3">
        <f ca="1">tblEncounters[[#This Row],[Discharge_Date]]-tblEncounters[[#This Row],[Admission_Date]]</f>
        <v>7</v>
      </c>
      <c r="L3" s="10" t="s">
        <v>54</v>
      </c>
      <c r="M3" s="9" t="s">
        <v>194</v>
      </c>
      <c r="N3" t="s">
        <v>53</v>
      </c>
      <c r="O3" t="s">
        <v>54</v>
      </c>
      <c r="P3" t="s">
        <v>54</v>
      </c>
      <c r="Q3" t="str">
        <f>_xlfn.XLOOKUP(tblEncounters[[#This Row],[Hospital_ID]],Table1[Hospital_ID],Table1[Hospital_Name],"Not Found")</f>
        <v>Aurora Medical Centre</v>
      </c>
      <c r="R3" t="str">
        <f>_xlfn.XLOOKUP(tblEncounters[[#This Row],[Hospital_ID]],Table1[Hospital_ID],Table1[Country],"Not Found")</f>
        <v>Netherland</v>
      </c>
      <c r="S3" t="str">
        <f>_xlfn.XLOOKUP(tblEncounters[[#This Row],[Hospital_ID]],Table1[Hospital_ID],Table1[FHIR_Enabled],"Not Found")</f>
        <v>Yes</v>
      </c>
    </row>
    <row r="4" spans="1:19">
      <c r="A4" t="s">
        <v>85</v>
      </c>
      <c r="B4" t="s">
        <v>135</v>
      </c>
      <c r="C4" t="s">
        <v>13</v>
      </c>
      <c r="D4">
        <v>89</v>
      </c>
      <c r="E4" t="str">
        <f>IF(tblEncounters[[#This Row],[Age]]&lt;30,"18-29",IF(tblEncounters[[#This Row],[Age]]&lt;45,"30-44",IF(tblEncounters[[#This Row],[Age]]&lt;60,"45-59",IF(tblEncounters[[#This Row],[Age]]&lt;75,"60-74","75+"))))</f>
        <v>75+</v>
      </c>
      <c r="F4" t="s">
        <v>183</v>
      </c>
      <c r="G4" t="s">
        <v>187</v>
      </c>
      <c r="H4" t="s">
        <v>191</v>
      </c>
      <c r="I4" s="10">
        <v>46035</v>
      </c>
      <c r="J4" s="10">
        <f ca="1">tblEncounters[[#This Row],[Admission_Date]]+RANDBETWEEN(1,12)</f>
        <v>46036</v>
      </c>
      <c r="K4">
        <f ca="1">tblEncounters[[#This Row],[Discharge_Date]]-tblEncounters[[#This Row],[Admission_Date]]</f>
        <v>1</v>
      </c>
      <c r="L4" s="10" t="s">
        <v>53</v>
      </c>
      <c r="M4" t="s">
        <v>195</v>
      </c>
      <c r="N4" t="s">
        <v>53</v>
      </c>
      <c r="O4" t="s">
        <v>54</v>
      </c>
      <c r="P4" t="s">
        <v>54</v>
      </c>
      <c r="Q4" t="str">
        <f>_xlfn.XLOOKUP(tblEncounters[[#This Row],[Hospital_ID]],Table1[Hospital_ID],Table1[Hospital_Name],"Not Found")</f>
        <v>Helis General Hospital</v>
      </c>
      <c r="R4" t="str">
        <f>_xlfn.XLOOKUP(tblEncounters[[#This Row],[Hospital_ID]],Table1[Hospital_ID],Table1[Country],"Not Found")</f>
        <v>Austria</v>
      </c>
      <c r="S4" t="str">
        <f>_xlfn.XLOOKUP(tblEncounters[[#This Row],[Hospital_ID]],Table1[Hospital_ID],Table1[FHIR_Enabled],"Not Found")</f>
        <v>Partial</v>
      </c>
    </row>
    <row r="5" spans="1:19">
      <c r="A5" t="s">
        <v>86</v>
      </c>
      <c r="B5" t="s">
        <v>136</v>
      </c>
      <c r="C5" t="s">
        <v>14</v>
      </c>
      <c r="D5">
        <v>49</v>
      </c>
      <c r="E5" t="str">
        <f>IF(tblEncounters[[#This Row],[Age]]&lt;30,"18-29",IF(tblEncounters[[#This Row],[Age]]&lt;45,"30-44",IF(tblEncounters[[#This Row],[Age]]&lt;60,"45-59",IF(tblEncounters[[#This Row],[Age]]&lt;75,"60-74","75+"))))</f>
        <v>45-59</v>
      </c>
      <c r="F5" t="s">
        <v>184</v>
      </c>
      <c r="G5" t="s">
        <v>188</v>
      </c>
      <c r="H5" t="s">
        <v>192</v>
      </c>
      <c r="I5" s="10">
        <v>46078</v>
      </c>
      <c r="J5" s="10">
        <f ca="1">tblEncounters[[#This Row],[Admission_Date]]+RANDBETWEEN(1,12)</f>
        <v>46086</v>
      </c>
      <c r="K5">
        <f ca="1">tblEncounters[[#This Row],[Discharge_Date]]-tblEncounters[[#This Row],[Admission_Date]]</f>
        <v>8</v>
      </c>
      <c r="L5" s="10" t="s">
        <v>54</v>
      </c>
      <c r="M5" s="9" t="s">
        <v>196</v>
      </c>
      <c r="N5" t="s">
        <v>53</v>
      </c>
      <c r="O5" t="s">
        <v>54</v>
      </c>
      <c r="P5" t="s">
        <v>54</v>
      </c>
      <c r="Q5" t="str">
        <f>_xlfn.XLOOKUP(tblEncounters[[#This Row],[Hospital_ID]],Table1[Hospital_ID],Table1[Hospital_Name],"Not Found")</f>
        <v>St. Clara Medical Centre</v>
      </c>
      <c r="R5" t="str">
        <f>_xlfn.XLOOKUP(tblEncounters[[#This Row],[Hospital_ID]],Table1[Hospital_ID],Table1[Country],"Not Found")</f>
        <v>France</v>
      </c>
      <c r="S5" t="str">
        <f>_xlfn.XLOOKUP(tblEncounters[[#This Row],[Hospital_ID]],Table1[Hospital_ID],Table1[FHIR_Enabled],"Not Found")</f>
        <v>Yes</v>
      </c>
    </row>
    <row r="6" spans="1:19">
      <c r="A6" t="s">
        <v>87</v>
      </c>
      <c r="B6" t="s">
        <v>137</v>
      </c>
      <c r="C6" t="s">
        <v>15</v>
      </c>
      <c r="D6">
        <v>87</v>
      </c>
      <c r="E6" t="str">
        <f>IF(tblEncounters[[#This Row],[Age]]&lt;30,"18-29",IF(tblEncounters[[#This Row],[Age]]&lt;45,"30-44",IF(tblEncounters[[#This Row],[Age]]&lt;60,"45-59",IF(tblEncounters[[#This Row],[Age]]&lt;75,"60-74","75+"))))</f>
        <v>75+</v>
      </c>
      <c r="F6" t="s">
        <v>183</v>
      </c>
      <c r="G6" t="s">
        <v>189</v>
      </c>
      <c r="H6" t="s">
        <v>191</v>
      </c>
      <c r="I6" s="10">
        <v>46050</v>
      </c>
      <c r="J6" s="10">
        <f ca="1">tblEncounters[[#This Row],[Admission_Date]]+RANDBETWEEN(1,12)</f>
        <v>46057</v>
      </c>
      <c r="K6">
        <f ca="1">tblEncounters[[#This Row],[Discharge_Date]]-tblEncounters[[#This Row],[Admission_Date]]</f>
        <v>7</v>
      </c>
      <c r="L6" s="10" t="s">
        <v>54</v>
      </c>
      <c r="M6" s="9" t="s">
        <v>197</v>
      </c>
      <c r="N6" t="s">
        <v>53</v>
      </c>
      <c r="O6" t="s">
        <v>54</v>
      </c>
      <c r="P6" t="s">
        <v>53</v>
      </c>
      <c r="Q6" t="str">
        <f>_xlfn.XLOOKUP(tblEncounters[[#This Row],[Hospital_ID]],Table1[Hospital_ID],Table1[Hospital_Name],"Not Found")</f>
        <v>Europa Health Institute</v>
      </c>
      <c r="R6" t="str">
        <f>_xlfn.XLOOKUP(tblEncounters[[#This Row],[Hospital_ID]],Table1[Hospital_ID],Table1[Country],"Not Found")</f>
        <v xml:space="preserve">Belgium </v>
      </c>
      <c r="S6" t="str">
        <f>_xlfn.XLOOKUP(tblEncounters[[#This Row],[Hospital_ID]],Table1[Hospital_ID],Table1[FHIR_Enabled],"Not Found")</f>
        <v>Yes</v>
      </c>
    </row>
    <row r="7" spans="1:19">
      <c r="A7" t="s">
        <v>88</v>
      </c>
      <c r="B7" t="s">
        <v>138</v>
      </c>
      <c r="C7" t="s">
        <v>16</v>
      </c>
      <c r="D7">
        <v>37</v>
      </c>
      <c r="E7" t="str">
        <f>IF(tblEncounters[[#This Row],[Age]]&lt;30,"18-29",IF(tblEncounters[[#This Row],[Age]]&lt;45,"30-44",IF(tblEncounters[[#This Row],[Age]]&lt;60,"45-59",IF(tblEncounters[[#This Row],[Age]]&lt;75,"60-74","75+"))))</f>
        <v>30-44</v>
      </c>
      <c r="F7" t="s">
        <v>184</v>
      </c>
      <c r="G7" t="s">
        <v>190</v>
      </c>
      <c r="H7" t="s">
        <v>192</v>
      </c>
      <c r="I7" s="10">
        <v>46112</v>
      </c>
      <c r="J7" s="10">
        <f ca="1">tblEncounters[[#This Row],[Admission_Date]]+RANDBETWEEN(1,12)</f>
        <v>46119</v>
      </c>
      <c r="K7">
        <f ca="1">tblEncounters[[#This Row],[Discharge_Date]]-tblEncounters[[#This Row],[Admission_Date]]</f>
        <v>7</v>
      </c>
      <c r="L7" s="10" t="s">
        <v>54</v>
      </c>
      <c r="M7" s="9" t="s">
        <v>193</v>
      </c>
      <c r="N7" t="s">
        <v>53</v>
      </c>
      <c r="O7" t="s">
        <v>54</v>
      </c>
      <c r="P7" t="s">
        <v>53</v>
      </c>
      <c r="Q7" t="str">
        <f>_xlfn.XLOOKUP(tblEncounters[[#This Row],[Hospital_ID]],Table1[Hospital_ID],Table1[Hospital_Name],"Not Found")</f>
        <v>Marbel General Hospital</v>
      </c>
      <c r="R7" t="str">
        <f>_xlfn.XLOOKUP(tblEncounters[[#This Row],[Hospital_ID]],Table1[Hospital_ID],Table1[Country],"Not Found")</f>
        <v>Sweden</v>
      </c>
      <c r="S7" t="str">
        <f>_xlfn.XLOOKUP(tblEncounters[[#This Row],[Hospital_ID]],Table1[Hospital_ID],Table1[FHIR_Enabled],"Not Found")</f>
        <v>Yes</v>
      </c>
    </row>
    <row r="8" spans="1:19">
      <c r="A8" t="s">
        <v>89</v>
      </c>
      <c r="B8" t="s">
        <v>139</v>
      </c>
      <c r="C8" t="s">
        <v>17</v>
      </c>
      <c r="D8">
        <v>65</v>
      </c>
      <c r="E8" t="str">
        <f>IF(tblEncounters[[#This Row],[Age]]&lt;30,"18-29",IF(tblEncounters[[#This Row],[Age]]&lt;45,"30-44",IF(tblEncounters[[#This Row],[Age]]&lt;60,"45-59",IF(tblEncounters[[#This Row],[Age]]&lt;75,"60-74","75+"))))</f>
        <v>60-74</v>
      </c>
      <c r="F8" t="s">
        <v>184</v>
      </c>
      <c r="G8" t="s">
        <v>185</v>
      </c>
      <c r="H8" t="s">
        <v>191</v>
      </c>
      <c r="I8" s="10">
        <v>46035</v>
      </c>
      <c r="J8" s="10">
        <f ca="1">tblEncounters[[#This Row],[Admission_Date]]+RANDBETWEEN(1,12)</f>
        <v>46037</v>
      </c>
      <c r="K8">
        <f ca="1">tblEncounters[[#This Row],[Discharge_Date]]-tblEncounters[[#This Row],[Admission_Date]]</f>
        <v>2</v>
      </c>
      <c r="L8" s="10" t="s">
        <v>54</v>
      </c>
      <c r="M8" s="9" t="s">
        <v>194</v>
      </c>
      <c r="N8" t="s">
        <v>53</v>
      </c>
      <c r="O8" t="s">
        <v>53</v>
      </c>
      <c r="P8" t="s">
        <v>54</v>
      </c>
      <c r="Q8" t="str">
        <f>_xlfn.XLOOKUP(tblEncounters[[#This Row],[Hospital_ID]],Table1[Hospital_ID],Table1[Hospital_Name],"Not Found")</f>
        <v>Helix Medical Centre</v>
      </c>
      <c r="R8" t="str">
        <f>_xlfn.XLOOKUP(tblEncounters[[#This Row],[Hospital_ID]],Table1[Hospital_ID],Table1[Country],"Not Found")</f>
        <v>Denmark</v>
      </c>
      <c r="S8" t="str">
        <f>_xlfn.XLOOKUP(tblEncounters[[#This Row],[Hospital_ID]],Table1[Hospital_ID],Table1[FHIR_Enabled],"Not Found")</f>
        <v>Partial</v>
      </c>
    </row>
    <row r="9" spans="1:19">
      <c r="A9" t="s">
        <v>90</v>
      </c>
      <c r="B9" t="s">
        <v>140</v>
      </c>
      <c r="C9" t="s">
        <v>18</v>
      </c>
      <c r="D9">
        <v>44</v>
      </c>
      <c r="E9" t="str">
        <f>IF(tblEncounters[[#This Row],[Age]]&lt;30,"18-29",IF(tblEncounters[[#This Row],[Age]]&lt;45,"30-44",IF(tblEncounters[[#This Row],[Age]]&lt;60,"45-59",IF(tblEncounters[[#This Row],[Age]]&lt;75,"60-74","75+"))))</f>
        <v>30-44</v>
      </c>
      <c r="F9" t="s">
        <v>183</v>
      </c>
      <c r="G9" t="s">
        <v>186</v>
      </c>
      <c r="H9" t="s">
        <v>192</v>
      </c>
      <c r="I9" s="10">
        <v>46075</v>
      </c>
      <c r="J9" s="10">
        <f ca="1">tblEncounters[[#This Row],[Admission_Date]]+RANDBETWEEN(1,12)</f>
        <v>46084</v>
      </c>
      <c r="K9">
        <f ca="1">tblEncounters[[#This Row],[Discharge_Date]]-tblEncounters[[#This Row],[Admission_Date]]</f>
        <v>9</v>
      </c>
      <c r="L9" s="10" t="s">
        <v>54</v>
      </c>
      <c r="M9" t="s">
        <v>195</v>
      </c>
      <c r="N9" t="s">
        <v>53</v>
      </c>
      <c r="O9" t="s">
        <v>54</v>
      </c>
      <c r="P9" t="s">
        <v>53</v>
      </c>
      <c r="Q9" t="str">
        <f>_xlfn.XLOOKUP(tblEncounters[[#This Row],[Hospital_ID]],Table1[Hospital_ID],Table1[Hospital_Name],"Not Found")</f>
        <v>St.Aldric University Hospital</v>
      </c>
      <c r="R9" t="str">
        <f>_xlfn.XLOOKUP(tblEncounters[[#This Row],[Hospital_ID]],Table1[Hospital_ID],Table1[Country],"Not Found")</f>
        <v>Finland</v>
      </c>
      <c r="S9" t="str">
        <f>_xlfn.XLOOKUP(tblEncounters[[#This Row],[Hospital_ID]],Table1[Hospital_ID],Table1[FHIR_Enabled],"Not Found")</f>
        <v>Yes</v>
      </c>
    </row>
    <row r="10" spans="1:19">
      <c r="A10" t="s">
        <v>91</v>
      </c>
      <c r="B10" t="s">
        <v>141</v>
      </c>
      <c r="C10" t="s">
        <v>19</v>
      </c>
      <c r="D10">
        <v>37</v>
      </c>
      <c r="E10" t="str">
        <f>IF(tblEncounters[[#This Row],[Age]]&lt;30,"18-29",IF(tblEncounters[[#This Row],[Age]]&lt;45,"30-44",IF(tblEncounters[[#This Row],[Age]]&lt;60,"45-59",IF(tblEncounters[[#This Row],[Age]]&lt;75,"60-74","75+"))))</f>
        <v>30-44</v>
      </c>
      <c r="F10" t="s">
        <v>184</v>
      </c>
      <c r="G10" t="s">
        <v>187</v>
      </c>
      <c r="H10" t="s">
        <v>191</v>
      </c>
      <c r="I10" s="10">
        <v>46057</v>
      </c>
      <c r="J10" s="10">
        <f ca="1">tblEncounters[[#This Row],[Admission_Date]]+RANDBETWEEN(1,12)</f>
        <v>46061</v>
      </c>
      <c r="K10">
        <f ca="1">tblEncounters[[#This Row],[Discharge_Date]]-tblEncounters[[#This Row],[Admission_Date]]</f>
        <v>4</v>
      </c>
      <c r="L10" s="10" t="s">
        <v>53</v>
      </c>
      <c r="M10" s="9" t="s">
        <v>196</v>
      </c>
      <c r="N10" t="s">
        <v>53</v>
      </c>
      <c r="O10" t="s">
        <v>54</v>
      </c>
      <c r="P10" t="s">
        <v>54</v>
      </c>
      <c r="Q10" t="str">
        <f>_xlfn.XLOOKUP(tblEncounters[[#This Row],[Hospital_ID]],Table1[Hospital_ID],Table1[Hospital_Name],"Not Found")</f>
        <v>Clinica Santa Marisol</v>
      </c>
      <c r="R10" t="str">
        <f>_xlfn.XLOOKUP(tblEncounters[[#This Row],[Hospital_ID]],Table1[Hospital_ID],Table1[Country],"Not Found")</f>
        <v>Spain</v>
      </c>
      <c r="S10" t="str">
        <f>_xlfn.XLOOKUP(tblEncounters[[#This Row],[Hospital_ID]],Table1[Hospital_ID],Table1[FHIR_Enabled],"Not Found")</f>
        <v>Partial</v>
      </c>
    </row>
    <row r="11" spans="1:19">
      <c r="A11" t="s">
        <v>92</v>
      </c>
      <c r="B11" t="s">
        <v>142</v>
      </c>
      <c r="C11" t="s">
        <v>20</v>
      </c>
      <c r="D11">
        <v>39</v>
      </c>
      <c r="E11" t="str">
        <f>IF(tblEncounters[[#This Row],[Age]]&lt;30,"18-29",IF(tblEncounters[[#This Row],[Age]]&lt;45,"30-44",IF(tblEncounters[[#This Row],[Age]]&lt;60,"45-59",IF(tblEncounters[[#This Row],[Age]]&lt;75,"60-74","75+"))))</f>
        <v>30-44</v>
      </c>
      <c r="F11" t="s">
        <v>183</v>
      </c>
      <c r="G11" t="s">
        <v>188</v>
      </c>
      <c r="H11" t="s">
        <v>191</v>
      </c>
      <c r="I11" s="10">
        <v>46105</v>
      </c>
      <c r="J11" s="10">
        <f ca="1">tblEncounters[[#This Row],[Admission_Date]]+RANDBETWEEN(1,12)</f>
        <v>46115</v>
      </c>
      <c r="K11">
        <f ca="1">tblEncounters[[#This Row],[Discharge_Date]]-tblEncounters[[#This Row],[Admission_Date]]</f>
        <v>10</v>
      </c>
      <c r="L11" s="10" t="s">
        <v>54</v>
      </c>
      <c r="M11" s="9" t="s">
        <v>197</v>
      </c>
      <c r="N11" t="s">
        <v>54</v>
      </c>
      <c r="O11" t="s">
        <v>54</v>
      </c>
      <c r="P11" t="s">
        <v>54</v>
      </c>
      <c r="Q11" t="str">
        <f>_xlfn.XLOOKUP(tblEncounters[[#This Row],[Hospital_ID]],Table1[Hospital_ID],Table1[Hospital_Name],"Not Found")</f>
        <v>Nordhavan Regional Medical Centre</v>
      </c>
      <c r="R11" t="str">
        <f>_xlfn.XLOOKUP(tblEncounters[[#This Row],[Hospital_ID]],Table1[Hospital_ID],Table1[Country],"Not Found")</f>
        <v>Italy</v>
      </c>
      <c r="S11" t="str">
        <f>_xlfn.XLOOKUP(tblEncounters[[#This Row],[Hospital_ID]],Table1[Hospital_ID],Table1[FHIR_Enabled],"Not Found")</f>
        <v>No</v>
      </c>
    </row>
    <row r="12" spans="1:19">
      <c r="A12" t="s">
        <v>93</v>
      </c>
      <c r="B12" t="s">
        <v>143</v>
      </c>
      <c r="C12" t="s">
        <v>11</v>
      </c>
      <c r="D12">
        <v>38</v>
      </c>
      <c r="E12" t="str">
        <f>IF(tblEncounters[[#This Row],[Age]]&lt;30,"18-29",IF(tblEncounters[[#This Row],[Age]]&lt;45,"30-44",IF(tblEncounters[[#This Row],[Age]]&lt;60,"45-59",IF(tblEncounters[[#This Row],[Age]]&lt;75,"60-74","75+"))))</f>
        <v>30-44</v>
      </c>
      <c r="F12" t="s">
        <v>184</v>
      </c>
      <c r="G12" t="s">
        <v>189</v>
      </c>
      <c r="H12" t="s">
        <v>191</v>
      </c>
      <c r="I12" s="11">
        <v>46103</v>
      </c>
      <c r="J12" s="10">
        <f ca="1">tblEncounters[[#This Row],[Admission_Date]]+RANDBETWEEN(1,12)</f>
        <v>46104</v>
      </c>
      <c r="K12">
        <f ca="1">tblEncounters[[#This Row],[Discharge_Date]]-tblEncounters[[#This Row],[Admission_Date]]</f>
        <v>1</v>
      </c>
      <c r="L12" s="10" t="s">
        <v>54</v>
      </c>
      <c r="M12" s="9" t="s">
        <v>193</v>
      </c>
      <c r="N12" t="s">
        <v>53</v>
      </c>
      <c r="O12" t="s">
        <v>54</v>
      </c>
      <c r="P12" t="s">
        <v>53</v>
      </c>
      <c r="Q12" t="str">
        <f>_xlfn.XLOOKUP(tblEncounters[[#This Row],[Hospital_ID]],Table1[Hospital_ID],Table1[Hospital_Name],"Not Found")</f>
        <v>Nova Medical Centre</v>
      </c>
      <c r="R12" t="str">
        <f>_xlfn.XLOOKUP(tblEncounters[[#This Row],[Hospital_ID]],Table1[Hospital_ID],Table1[Country],"Not Found")</f>
        <v>Germany</v>
      </c>
      <c r="S12" t="str">
        <f>_xlfn.XLOOKUP(tblEncounters[[#This Row],[Hospital_ID]],Table1[Hospital_ID],Table1[FHIR_Enabled],"Not Found")</f>
        <v>Yes</v>
      </c>
    </row>
    <row r="13" spans="1:19">
      <c r="A13" t="s">
        <v>94</v>
      </c>
      <c r="B13" t="s">
        <v>144</v>
      </c>
      <c r="C13" t="s">
        <v>12</v>
      </c>
      <c r="D13">
        <v>79</v>
      </c>
      <c r="E13" t="str">
        <f>IF(tblEncounters[[#This Row],[Age]]&lt;30,"18-29",IF(tblEncounters[[#This Row],[Age]]&lt;45,"30-44",IF(tblEncounters[[#This Row],[Age]]&lt;60,"45-59",IF(tblEncounters[[#This Row],[Age]]&lt;75,"60-74","75+"))))</f>
        <v>75+</v>
      </c>
      <c r="F13" t="s">
        <v>184</v>
      </c>
      <c r="G13" t="s">
        <v>190</v>
      </c>
      <c r="H13" t="s">
        <v>191</v>
      </c>
      <c r="I13" s="10">
        <v>46107</v>
      </c>
      <c r="J13" s="10">
        <f ca="1">tblEncounters[[#This Row],[Admission_Date]]+RANDBETWEEN(1,12)</f>
        <v>46116</v>
      </c>
      <c r="K13">
        <f ca="1">tblEncounters[[#This Row],[Discharge_Date]]-tblEncounters[[#This Row],[Admission_Date]]</f>
        <v>9</v>
      </c>
      <c r="L13" s="10" t="s">
        <v>54</v>
      </c>
      <c r="M13" s="9" t="s">
        <v>194</v>
      </c>
      <c r="N13" t="s">
        <v>53</v>
      </c>
      <c r="O13" t="s">
        <v>54</v>
      </c>
      <c r="P13" t="s">
        <v>54</v>
      </c>
      <c r="Q13" t="str">
        <f>_xlfn.XLOOKUP(tblEncounters[[#This Row],[Hospital_ID]],Table1[Hospital_ID],Table1[Hospital_Name],"Not Found")</f>
        <v>Aurora Medical Centre</v>
      </c>
      <c r="R13" t="str">
        <f>_xlfn.XLOOKUP(tblEncounters[[#This Row],[Hospital_ID]],Table1[Hospital_ID],Table1[Country],"Not Found")</f>
        <v>Netherland</v>
      </c>
      <c r="S13" t="str">
        <f>_xlfn.XLOOKUP(tblEncounters[[#This Row],[Hospital_ID]],Table1[Hospital_ID],Table1[FHIR_Enabled],"Not Found")</f>
        <v>Yes</v>
      </c>
    </row>
    <row r="14" spans="1:19">
      <c r="A14" t="s">
        <v>95</v>
      </c>
      <c r="B14" t="s">
        <v>145</v>
      </c>
      <c r="C14" t="s">
        <v>13</v>
      </c>
      <c r="D14">
        <v>40</v>
      </c>
      <c r="E14" t="str">
        <f>IF(tblEncounters[[#This Row],[Age]]&lt;30,"18-29",IF(tblEncounters[[#This Row],[Age]]&lt;45,"30-44",IF(tblEncounters[[#This Row],[Age]]&lt;60,"45-59",IF(tblEncounters[[#This Row],[Age]]&lt;75,"60-74","75+"))))</f>
        <v>30-44</v>
      </c>
      <c r="F14" t="s">
        <v>183</v>
      </c>
      <c r="G14" t="s">
        <v>185</v>
      </c>
      <c r="H14" t="s">
        <v>191</v>
      </c>
      <c r="I14" s="10">
        <v>46046</v>
      </c>
      <c r="J14" s="10">
        <f ca="1">tblEncounters[[#This Row],[Admission_Date]]+RANDBETWEEN(1,12)</f>
        <v>46050</v>
      </c>
      <c r="K14">
        <f ca="1">tblEncounters[[#This Row],[Discharge_Date]]-tblEncounters[[#This Row],[Admission_Date]]</f>
        <v>4</v>
      </c>
      <c r="L14" s="10" t="s">
        <v>53</v>
      </c>
      <c r="M14" t="s">
        <v>195</v>
      </c>
      <c r="N14" t="s">
        <v>53</v>
      </c>
      <c r="O14" t="s">
        <v>54</v>
      </c>
      <c r="P14" t="s">
        <v>54</v>
      </c>
      <c r="Q14" t="str">
        <f>_xlfn.XLOOKUP(tblEncounters[[#This Row],[Hospital_ID]],Table1[Hospital_ID],Table1[Hospital_Name],"Not Found")</f>
        <v>Helis General Hospital</v>
      </c>
      <c r="R14" t="str">
        <f>_xlfn.XLOOKUP(tblEncounters[[#This Row],[Hospital_ID]],Table1[Hospital_ID],Table1[Country],"Not Found")</f>
        <v>Austria</v>
      </c>
      <c r="S14" t="str">
        <f>_xlfn.XLOOKUP(tblEncounters[[#This Row],[Hospital_ID]],Table1[Hospital_ID],Table1[FHIR_Enabled],"Not Found")</f>
        <v>Partial</v>
      </c>
    </row>
    <row r="15" spans="1:19">
      <c r="A15" t="s">
        <v>96</v>
      </c>
      <c r="B15" t="s">
        <v>146</v>
      </c>
      <c r="C15" t="s">
        <v>14</v>
      </c>
      <c r="D15">
        <v>39</v>
      </c>
      <c r="E15" t="str">
        <f>IF(tblEncounters[[#This Row],[Age]]&lt;30,"18-29",IF(tblEncounters[[#This Row],[Age]]&lt;45,"30-44",IF(tblEncounters[[#This Row],[Age]]&lt;60,"45-59",IF(tblEncounters[[#This Row],[Age]]&lt;75,"60-74","75+"))))</f>
        <v>30-44</v>
      </c>
      <c r="F15" t="s">
        <v>183</v>
      </c>
      <c r="G15" t="s">
        <v>186</v>
      </c>
      <c r="H15" t="s">
        <v>191</v>
      </c>
      <c r="I15" s="10">
        <v>46050</v>
      </c>
      <c r="J15" s="10">
        <f ca="1">tblEncounters[[#This Row],[Admission_Date]]+RANDBETWEEN(1,12)</f>
        <v>46055</v>
      </c>
      <c r="K15">
        <f ca="1">tblEncounters[[#This Row],[Discharge_Date]]-tblEncounters[[#This Row],[Admission_Date]]</f>
        <v>5</v>
      </c>
      <c r="L15" s="10" t="s">
        <v>54</v>
      </c>
      <c r="M15" s="9" t="s">
        <v>196</v>
      </c>
      <c r="N15" t="s">
        <v>53</v>
      </c>
      <c r="O15" t="s">
        <v>54</v>
      </c>
      <c r="P15" t="s">
        <v>54</v>
      </c>
      <c r="Q15" t="str">
        <f>_xlfn.XLOOKUP(tblEncounters[[#This Row],[Hospital_ID]],Table1[Hospital_ID],Table1[Hospital_Name],"Not Found")</f>
        <v>St. Clara Medical Centre</v>
      </c>
      <c r="R15" t="str">
        <f>_xlfn.XLOOKUP(tblEncounters[[#This Row],[Hospital_ID]],Table1[Hospital_ID],Table1[Country],"Not Found")</f>
        <v>France</v>
      </c>
      <c r="S15" t="str">
        <f>_xlfn.XLOOKUP(tblEncounters[[#This Row],[Hospital_ID]],Table1[Hospital_ID],Table1[FHIR_Enabled],"Not Found")</f>
        <v>Yes</v>
      </c>
    </row>
    <row r="16" spans="1:19">
      <c r="A16" t="s">
        <v>97</v>
      </c>
      <c r="B16" t="s">
        <v>147</v>
      </c>
      <c r="C16" t="s">
        <v>15</v>
      </c>
      <c r="D16">
        <v>41</v>
      </c>
      <c r="E16" t="str">
        <f>IF(tblEncounters[[#This Row],[Age]]&lt;30,"18-29",IF(tblEncounters[[#This Row],[Age]]&lt;45,"30-44",IF(tblEncounters[[#This Row],[Age]]&lt;60,"45-59",IF(tblEncounters[[#This Row],[Age]]&lt;75,"60-74","75+"))))</f>
        <v>30-44</v>
      </c>
      <c r="F16" t="s">
        <v>184</v>
      </c>
      <c r="G16" t="s">
        <v>187</v>
      </c>
      <c r="H16" t="s">
        <v>191</v>
      </c>
      <c r="I16" s="10">
        <v>46090</v>
      </c>
      <c r="J16" s="10">
        <f ca="1">tblEncounters[[#This Row],[Admission_Date]]+RANDBETWEEN(1,12)</f>
        <v>46097</v>
      </c>
      <c r="K16">
        <f ca="1">tblEncounters[[#This Row],[Discharge_Date]]-tblEncounters[[#This Row],[Admission_Date]]</f>
        <v>7</v>
      </c>
      <c r="L16" s="10" t="s">
        <v>54</v>
      </c>
      <c r="M16" s="9" t="s">
        <v>197</v>
      </c>
      <c r="N16" t="s">
        <v>53</v>
      </c>
      <c r="O16" t="s">
        <v>53</v>
      </c>
      <c r="P16" t="s">
        <v>54</v>
      </c>
      <c r="Q16" t="str">
        <f>_xlfn.XLOOKUP(tblEncounters[[#This Row],[Hospital_ID]],Table1[Hospital_ID],Table1[Hospital_Name],"Not Found")</f>
        <v>Europa Health Institute</v>
      </c>
      <c r="R16" t="str">
        <f>_xlfn.XLOOKUP(tblEncounters[[#This Row],[Hospital_ID]],Table1[Hospital_ID],Table1[Country],"Not Found")</f>
        <v xml:space="preserve">Belgium </v>
      </c>
      <c r="S16" t="str">
        <f>_xlfn.XLOOKUP(tblEncounters[[#This Row],[Hospital_ID]],Table1[Hospital_ID],Table1[FHIR_Enabled],"Not Found")</f>
        <v>Yes</v>
      </c>
    </row>
    <row r="17" spans="1:19">
      <c r="A17" t="s">
        <v>98</v>
      </c>
      <c r="B17" t="s">
        <v>148</v>
      </c>
      <c r="C17" t="s">
        <v>16</v>
      </c>
      <c r="D17">
        <v>85</v>
      </c>
      <c r="E17" t="str">
        <f>IF(tblEncounters[[#This Row],[Age]]&lt;30,"18-29",IF(tblEncounters[[#This Row],[Age]]&lt;45,"30-44",IF(tblEncounters[[#This Row],[Age]]&lt;60,"45-59",IF(tblEncounters[[#This Row],[Age]]&lt;75,"60-74","75+"))))</f>
        <v>75+</v>
      </c>
      <c r="F17" t="s">
        <v>183</v>
      </c>
      <c r="G17" t="s">
        <v>188</v>
      </c>
      <c r="H17" t="s">
        <v>192</v>
      </c>
      <c r="I17" s="10">
        <v>46084</v>
      </c>
      <c r="J17" s="10">
        <f ca="1">tblEncounters[[#This Row],[Admission_Date]]+RANDBETWEEN(1,12)</f>
        <v>46085</v>
      </c>
      <c r="K17">
        <f ca="1">tblEncounters[[#This Row],[Discharge_Date]]-tblEncounters[[#This Row],[Admission_Date]]</f>
        <v>1</v>
      </c>
      <c r="L17" s="10" t="s">
        <v>54</v>
      </c>
      <c r="M17" s="9" t="s">
        <v>193</v>
      </c>
      <c r="N17" t="s">
        <v>53</v>
      </c>
      <c r="O17" t="s">
        <v>54</v>
      </c>
      <c r="P17" t="s">
        <v>54</v>
      </c>
      <c r="Q17" t="str">
        <f>_xlfn.XLOOKUP(tblEncounters[[#This Row],[Hospital_ID]],Table1[Hospital_ID],Table1[Hospital_Name],"Not Found")</f>
        <v>Marbel General Hospital</v>
      </c>
      <c r="R17" t="str">
        <f>_xlfn.XLOOKUP(tblEncounters[[#This Row],[Hospital_ID]],Table1[Hospital_ID],Table1[Country],"Not Found")</f>
        <v>Sweden</v>
      </c>
      <c r="S17" t="str">
        <f>_xlfn.XLOOKUP(tblEncounters[[#This Row],[Hospital_ID]],Table1[Hospital_ID],Table1[FHIR_Enabled],"Not Found")</f>
        <v>Yes</v>
      </c>
    </row>
    <row r="18" spans="1:19">
      <c r="A18" t="s">
        <v>99</v>
      </c>
      <c r="B18" t="s">
        <v>149</v>
      </c>
      <c r="C18" t="s">
        <v>17</v>
      </c>
      <c r="D18">
        <v>40</v>
      </c>
      <c r="E18" t="str">
        <f>IF(tblEncounters[[#This Row],[Age]]&lt;30,"18-29",IF(tblEncounters[[#This Row],[Age]]&lt;45,"30-44",IF(tblEncounters[[#This Row],[Age]]&lt;60,"45-59",IF(tblEncounters[[#This Row],[Age]]&lt;75,"60-74","75+"))))</f>
        <v>30-44</v>
      </c>
      <c r="F18" t="s">
        <v>184</v>
      </c>
      <c r="G18" t="s">
        <v>189</v>
      </c>
      <c r="H18" t="s">
        <v>191</v>
      </c>
      <c r="I18" s="10">
        <v>46044</v>
      </c>
      <c r="J18" s="10">
        <f ca="1">tblEncounters[[#This Row],[Admission_Date]]+RANDBETWEEN(1,12)</f>
        <v>46052</v>
      </c>
      <c r="K18">
        <f ca="1">tblEncounters[[#This Row],[Discharge_Date]]-tblEncounters[[#This Row],[Admission_Date]]</f>
        <v>8</v>
      </c>
      <c r="L18" s="10" t="s">
        <v>53</v>
      </c>
      <c r="M18" s="9" t="s">
        <v>194</v>
      </c>
      <c r="N18" t="s">
        <v>53</v>
      </c>
      <c r="O18" t="s">
        <v>54</v>
      </c>
      <c r="P18" t="s">
        <v>53</v>
      </c>
      <c r="Q18" t="str">
        <f>_xlfn.XLOOKUP(tblEncounters[[#This Row],[Hospital_ID]],Table1[Hospital_ID],Table1[Hospital_Name],"Not Found")</f>
        <v>Helix Medical Centre</v>
      </c>
      <c r="R18" t="str">
        <f>_xlfn.XLOOKUP(tblEncounters[[#This Row],[Hospital_ID]],Table1[Hospital_ID],Table1[Country],"Not Found")</f>
        <v>Denmark</v>
      </c>
      <c r="S18" t="str">
        <f>_xlfn.XLOOKUP(tblEncounters[[#This Row],[Hospital_ID]],Table1[Hospital_ID],Table1[FHIR_Enabled],"Not Found")</f>
        <v>Partial</v>
      </c>
    </row>
    <row r="19" spans="1:19">
      <c r="A19" t="s">
        <v>100</v>
      </c>
      <c r="B19" t="s">
        <v>150</v>
      </c>
      <c r="C19" t="s">
        <v>18</v>
      </c>
      <c r="D19">
        <v>72</v>
      </c>
      <c r="E19" t="str">
        <f>IF(tblEncounters[[#This Row],[Age]]&lt;30,"18-29",IF(tblEncounters[[#This Row],[Age]]&lt;45,"30-44",IF(tblEncounters[[#This Row],[Age]]&lt;60,"45-59",IF(tblEncounters[[#This Row],[Age]]&lt;75,"60-74","75+"))))</f>
        <v>60-74</v>
      </c>
      <c r="F19" t="s">
        <v>183</v>
      </c>
      <c r="G19" t="s">
        <v>190</v>
      </c>
      <c r="H19" t="s">
        <v>192</v>
      </c>
      <c r="I19" s="10">
        <v>46044</v>
      </c>
      <c r="J19" s="10">
        <f ca="1">tblEncounters[[#This Row],[Admission_Date]]+RANDBETWEEN(1,12)</f>
        <v>46051</v>
      </c>
      <c r="K19">
        <f ca="1">tblEncounters[[#This Row],[Discharge_Date]]-tblEncounters[[#This Row],[Admission_Date]]</f>
        <v>7</v>
      </c>
      <c r="L19" s="10" t="s">
        <v>54</v>
      </c>
      <c r="M19" t="s">
        <v>195</v>
      </c>
      <c r="N19" t="s">
        <v>53</v>
      </c>
      <c r="O19" t="s">
        <v>54</v>
      </c>
      <c r="P19" t="s">
        <v>53</v>
      </c>
      <c r="Q19" t="str">
        <f>_xlfn.XLOOKUP(tblEncounters[[#This Row],[Hospital_ID]],Table1[Hospital_ID],Table1[Hospital_Name],"Not Found")</f>
        <v>St.Aldric University Hospital</v>
      </c>
      <c r="R19" t="str">
        <f>_xlfn.XLOOKUP(tblEncounters[[#This Row],[Hospital_ID]],Table1[Hospital_ID],Table1[Country],"Not Found")</f>
        <v>Finland</v>
      </c>
      <c r="S19" t="str">
        <f>_xlfn.XLOOKUP(tblEncounters[[#This Row],[Hospital_ID]],Table1[Hospital_ID],Table1[FHIR_Enabled],"Not Found")</f>
        <v>Yes</v>
      </c>
    </row>
    <row r="20" spans="1:19">
      <c r="A20" t="s">
        <v>101</v>
      </c>
      <c r="B20" t="s">
        <v>151</v>
      </c>
      <c r="C20" t="s">
        <v>19</v>
      </c>
      <c r="D20">
        <v>81</v>
      </c>
      <c r="E20" t="str">
        <f>IF(tblEncounters[[#This Row],[Age]]&lt;30,"18-29",IF(tblEncounters[[#This Row],[Age]]&lt;45,"30-44",IF(tblEncounters[[#This Row],[Age]]&lt;60,"45-59",IF(tblEncounters[[#This Row],[Age]]&lt;75,"60-74","75+"))))</f>
        <v>75+</v>
      </c>
      <c r="F20" t="s">
        <v>184</v>
      </c>
      <c r="G20" t="s">
        <v>185</v>
      </c>
      <c r="H20" t="s">
        <v>191</v>
      </c>
      <c r="I20" s="10">
        <v>46105</v>
      </c>
      <c r="J20" s="10">
        <f ca="1">tblEncounters[[#This Row],[Admission_Date]]+RANDBETWEEN(1,12)</f>
        <v>46114</v>
      </c>
      <c r="K20">
        <f ca="1">tblEncounters[[#This Row],[Discharge_Date]]-tblEncounters[[#This Row],[Admission_Date]]</f>
        <v>9</v>
      </c>
      <c r="L20" s="10" t="s">
        <v>54</v>
      </c>
      <c r="M20" s="9" t="s">
        <v>196</v>
      </c>
      <c r="N20" t="s">
        <v>53</v>
      </c>
      <c r="O20" t="s">
        <v>54</v>
      </c>
      <c r="P20" t="s">
        <v>54</v>
      </c>
      <c r="Q20" t="str">
        <f>_xlfn.XLOOKUP(tblEncounters[[#This Row],[Hospital_ID]],Table1[Hospital_ID],Table1[Hospital_Name],"Not Found")</f>
        <v>Clinica Santa Marisol</v>
      </c>
      <c r="R20" t="str">
        <f>_xlfn.XLOOKUP(tblEncounters[[#This Row],[Hospital_ID]],Table1[Hospital_ID],Table1[Country],"Not Found")</f>
        <v>Spain</v>
      </c>
      <c r="S20" t="str">
        <f>_xlfn.XLOOKUP(tblEncounters[[#This Row],[Hospital_ID]],Table1[Hospital_ID],Table1[FHIR_Enabled],"Not Found")</f>
        <v>Partial</v>
      </c>
    </row>
    <row r="21" spans="1:19">
      <c r="A21" t="s">
        <v>102</v>
      </c>
      <c r="B21" t="s">
        <v>152</v>
      </c>
      <c r="C21" t="s">
        <v>20</v>
      </c>
      <c r="D21">
        <v>69</v>
      </c>
      <c r="E21" t="str">
        <f>IF(tblEncounters[[#This Row],[Age]]&lt;30,"18-29",IF(tblEncounters[[#This Row],[Age]]&lt;45,"30-44",IF(tblEncounters[[#This Row],[Age]]&lt;60,"45-59",IF(tblEncounters[[#This Row],[Age]]&lt;75,"60-74","75+"))))</f>
        <v>60-74</v>
      </c>
      <c r="F21" t="s">
        <v>183</v>
      </c>
      <c r="G21" t="s">
        <v>186</v>
      </c>
      <c r="H21" t="s">
        <v>191</v>
      </c>
      <c r="I21" s="10">
        <v>46096</v>
      </c>
      <c r="J21" s="10">
        <f ca="1">tblEncounters[[#This Row],[Admission_Date]]+RANDBETWEEN(1,12)</f>
        <v>46107</v>
      </c>
      <c r="K21">
        <f ca="1">tblEncounters[[#This Row],[Discharge_Date]]-tblEncounters[[#This Row],[Admission_Date]]</f>
        <v>11</v>
      </c>
      <c r="L21" s="10" t="s">
        <v>54</v>
      </c>
      <c r="M21" s="9" t="s">
        <v>197</v>
      </c>
      <c r="N21" t="s">
        <v>53</v>
      </c>
      <c r="O21" t="s">
        <v>54</v>
      </c>
      <c r="P21" t="s">
        <v>54</v>
      </c>
      <c r="Q21" t="str">
        <f>_xlfn.XLOOKUP(tblEncounters[[#This Row],[Hospital_ID]],Table1[Hospital_ID],Table1[Hospital_Name],"Not Found")</f>
        <v>Nordhavan Regional Medical Centre</v>
      </c>
      <c r="R21" t="str">
        <f>_xlfn.XLOOKUP(tblEncounters[[#This Row],[Hospital_ID]],Table1[Hospital_ID],Table1[Country],"Not Found")</f>
        <v>Italy</v>
      </c>
      <c r="S21" t="str">
        <f>_xlfn.XLOOKUP(tblEncounters[[#This Row],[Hospital_ID]],Table1[Hospital_ID],Table1[FHIR_Enabled],"Not Found")</f>
        <v>No</v>
      </c>
    </row>
    <row r="22" spans="1:19">
      <c r="A22" t="s">
        <v>103</v>
      </c>
      <c r="B22" t="s">
        <v>153</v>
      </c>
      <c r="C22" t="s">
        <v>11</v>
      </c>
      <c r="D22">
        <v>63</v>
      </c>
      <c r="E22" t="str">
        <f>IF(tblEncounters[[#This Row],[Age]]&lt;30,"18-29",IF(tblEncounters[[#This Row],[Age]]&lt;45,"30-44",IF(tblEncounters[[#This Row],[Age]]&lt;60,"45-59",IF(tblEncounters[[#This Row],[Age]]&lt;75,"60-74","75+"))))</f>
        <v>60-74</v>
      </c>
      <c r="F22" t="s">
        <v>183</v>
      </c>
      <c r="G22" t="s">
        <v>187</v>
      </c>
      <c r="H22" t="s">
        <v>191</v>
      </c>
      <c r="I22" s="10">
        <v>46112</v>
      </c>
      <c r="J22" s="10">
        <f ca="1">tblEncounters[[#This Row],[Admission_Date]]+RANDBETWEEN(1,12)</f>
        <v>46116</v>
      </c>
      <c r="K22">
        <f ca="1">tblEncounters[[#This Row],[Discharge_Date]]-tblEncounters[[#This Row],[Admission_Date]]</f>
        <v>4</v>
      </c>
      <c r="L22" s="10" t="s">
        <v>53</v>
      </c>
      <c r="M22" s="9" t="s">
        <v>193</v>
      </c>
      <c r="N22" t="s">
        <v>53</v>
      </c>
      <c r="O22" t="s">
        <v>53</v>
      </c>
      <c r="P22" t="s">
        <v>54</v>
      </c>
      <c r="Q22" t="str">
        <f>_xlfn.XLOOKUP(tblEncounters[[#This Row],[Hospital_ID]],Table1[Hospital_ID],Table1[Hospital_Name],"Not Found")</f>
        <v>Nova Medical Centre</v>
      </c>
      <c r="R22" t="str">
        <f>_xlfn.XLOOKUP(tblEncounters[[#This Row],[Hospital_ID]],Table1[Hospital_ID],Table1[Country],"Not Found")</f>
        <v>Germany</v>
      </c>
      <c r="S22" t="str">
        <f>_xlfn.XLOOKUP(tblEncounters[[#This Row],[Hospital_ID]],Table1[Hospital_ID],Table1[FHIR_Enabled],"Not Found")</f>
        <v>Yes</v>
      </c>
    </row>
    <row r="23" spans="1:19">
      <c r="A23" t="s">
        <v>104</v>
      </c>
      <c r="B23" t="s">
        <v>154</v>
      </c>
      <c r="C23" t="s">
        <v>12</v>
      </c>
      <c r="D23">
        <v>56</v>
      </c>
      <c r="E23" t="str">
        <f>IF(tblEncounters[[#This Row],[Age]]&lt;30,"18-29",IF(tblEncounters[[#This Row],[Age]]&lt;45,"30-44",IF(tblEncounters[[#This Row],[Age]]&lt;60,"45-59",IF(tblEncounters[[#This Row],[Age]]&lt;75,"60-74","75+"))))</f>
        <v>45-59</v>
      </c>
      <c r="F23" t="s">
        <v>184</v>
      </c>
      <c r="G23" t="s">
        <v>188</v>
      </c>
      <c r="H23" t="s">
        <v>192</v>
      </c>
      <c r="I23" s="10">
        <v>46093</v>
      </c>
      <c r="J23" s="10">
        <f ca="1">tblEncounters[[#This Row],[Admission_Date]]+RANDBETWEEN(1,12)</f>
        <v>46104</v>
      </c>
      <c r="K23">
        <f ca="1">tblEncounters[[#This Row],[Discharge_Date]]-tblEncounters[[#This Row],[Admission_Date]]</f>
        <v>11</v>
      </c>
      <c r="L23" s="10" t="s">
        <v>54</v>
      </c>
      <c r="M23" s="9" t="s">
        <v>194</v>
      </c>
      <c r="N23" t="s">
        <v>53</v>
      </c>
      <c r="O23" t="s">
        <v>54</v>
      </c>
      <c r="P23" t="s">
        <v>54</v>
      </c>
      <c r="Q23" t="str">
        <f>_xlfn.XLOOKUP(tblEncounters[[#This Row],[Hospital_ID]],Table1[Hospital_ID],Table1[Hospital_Name],"Not Found")</f>
        <v>Aurora Medical Centre</v>
      </c>
      <c r="R23" t="str">
        <f>_xlfn.XLOOKUP(tblEncounters[[#This Row],[Hospital_ID]],Table1[Hospital_ID],Table1[Country],"Not Found")</f>
        <v>Netherland</v>
      </c>
      <c r="S23" t="str">
        <f>_xlfn.XLOOKUP(tblEncounters[[#This Row],[Hospital_ID]],Table1[Hospital_ID],Table1[FHIR_Enabled],"Not Found")</f>
        <v>Yes</v>
      </c>
    </row>
    <row r="24" spans="1:19">
      <c r="A24" t="s">
        <v>105</v>
      </c>
      <c r="B24" t="s">
        <v>155</v>
      </c>
      <c r="C24" t="s">
        <v>13</v>
      </c>
      <c r="D24">
        <v>85</v>
      </c>
      <c r="E24" t="str">
        <f>IF(tblEncounters[[#This Row],[Age]]&lt;30,"18-29",IF(tblEncounters[[#This Row],[Age]]&lt;45,"30-44",IF(tblEncounters[[#This Row],[Age]]&lt;60,"45-59",IF(tblEncounters[[#This Row],[Age]]&lt;75,"60-74","75+"))))</f>
        <v>75+</v>
      </c>
      <c r="F24" t="s">
        <v>184</v>
      </c>
      <c r="G24" t="s">
        <v>189</v>
      </c>
      <c r="H24" t="s">
        <v>191</v>
      </c>
      <c r="I24" s="10">
        <v>46025</v>
      </c>
      <c r="J24" s="10">
        <f ca="1">tblEncounters[[#This Row],[Admission_Date]]+RANDBETWEEN(1,12)</f>
        <v>46037</v>
      </c>
      <c r="K24">
        <f ca="1">tblEncounters[[#This Row],[Discharge_Date]]-tblEncounters[[#This Row],[Admission_Date]]</f>
        <v>12</v>
      </c>
      <c r="L24" s="10" t="s">
        <v>54</v>
      </c>
      <c r="M24" t="s">
        <v>195</v>
      </c>
      <c r="N24" t="s">
        <v>53</v>
      </c>
      <c r="O24" t="s">
        <v>54</v>
      </c>
      <c r="P24" t="s">
        <v>54</v>
      </c>
      <c r="Q24" t="str">
        <f>_xlfn.XLOOKUP(tblEncounters[[#This Row],[Hospital_ID]],Table1[Hospital_ID],Table1[Hospital_Name],"Not Found")</f>
        <v>Helis General Hospital</v>
      </c>
      <c r="R24" t="str">
        <f>_xlfn.XLOOKUP(tblEncounters[[#This Row],[Hospital_ID]],Table1[Hospital_ID],Table1[Country],"Not Found")</f>
        <v>Austria</v>
      </c>
      <c r="S24" t="str">
        <f>_xlfn.XLOOKUP(tblEncounters[[#This Row],[Hospital_ID]],Table1[Hospital_ID],Table1[FHIR_Enabled],"Not Found")</f>
        <v>Partial</v>
      </c>
    </row>
    <row r="25" spans="1:19">
      <c r="A25" t="s">
        <v>106</v>
      </c>
      <c r="B25" t="s">
        <v>156</v>
      </c>
      <c r="C25" t="s">
        <v>14</v>
      </c>
      <c r="D25">
        <v>49</v>
      </c>
      <c r="E25" t="str">
        <f>IF(tblEncounters[[#This Row],[Age]]&lt;30,"18-29",IF(tblEncounters[[#This Row],[Age]]&lt;45,"30-44",IF(tblEncounters[[#This Row],[Age]]&lt;60,"45-59",IF(tblEncounters[[#This Row],[Age]]&lt;75,"60-74","75+"))))</f>
        <v>45-59</v>
      </c>
      <c r="F25" t="s">
        <v>183</v>
      </c>
      <c r="G25" t="s">
        <v>190</v>
      </c>
      <c r="H25" t="s">
        <v>192</v>
      </c>
      <c r="I25" s="10">
        <v>46071</v>
      </c>
      <c r="J25" s="10">
        <f ca="1">tblEncounters[[#This Row],[Admission_Date]]+RANDBETWEEN(1,12)</f>
        <v>46076</v>
      </c>
      <c r="K25">
        <f ca="1">tblEncounters[[#This Row],[Discharge_Date]]-tblEncounters[[#This Row],[Admission_Date]]</f>
        <v>5</v>
      </c>
      <c r="L25" s="10" t="s">
        <v>54</v>
      </c>
      <c r="M25" s="9" t="s">
        <v>196</v>
      </c>
      <c r="N25" t="s">
        <v>54</v>
      </c>
      <c r="O25" t="s">
        <v>54</v>
      </c>
      <c r="P25" t="s">
        <v>54</v>
      </c>
      <c r="Q25" t="str">
        <f>_xlfn.XLOOKUP(tblEncounters[[#This Row],[Hospital_ID]],Table1[Hospital_ID],Table1[Hospital_Name],"Not Found")</f>
        <v>St. Clara Medical Centre</v>
      </c>
      <c r="R25" t="str">
        <f>_xlfn.XLOOKUP(tblEncounters[[#This Row],[Hospital_ID]],Table1[Hospital_ID],Table1[Country],"Not Found")</f>
        <v>France</v>
      </c>
      <c r="S25" t="str">
        <f>_xlfn.XLOOKUP(tblEncounters[[#This Row],[Hospital_ID]],Table1[Hospital_ID],Table1[FHIR_Enabled],"Not Found")</f>
        <v>Yes</v>
      </c>
    </row>
    <row r="26" spans="1:19">
      <c r="A26" t="s">
        <v>107</v>
      </c>
      <c r="B26" t="s">
        <v>157</v>
      </c>
      <c r="C26" t="s">
        <v>15</v>
      </c>
      <c r="D26">
        <v>25</v>
      </c>
      <c r="E26" t="str">
        <f>IF(tblEncounters[[#This Row],[Age]]&lt;30,"18-29",IF(tblEncounters[[#This Row],[Age]]&lt;45,"30-44",IF(tblEncounters[[#This Row],[Age]]&lt;60,"45-59",IF(tblEncounters[[#This Row],[Age]]&lt;75,"60-74","75+"))))</f>
        <v>18-29</v>
      </c>
      <c r="F26" t="s">
        <v>184</v>
      </c>
      <c r="G26" t="s">
        <v>185</v>
      </c>
      <c r="H26" t="s">
        <v>191</v>
      </c>
      <c r="I26" s="10">
        <v>46100</v>
      </c>
      <c r="J26" s="10">
        <f ca="1">tblEncounters[[#This Row],[Admission_Date]]+RANDBETWEEN(1,12)</f>
        <v>46111</v>
      </c>
      <c r="K26">
        <f ca="1">tblEncounters[[#This Row],[Discharge_Date]]-tblEncounters[[#This Row],[Admission_Date]]</f>
        <v>11</v>
      </c>
      <c r="L26" s="10" t="s">
        <v>54</v>
      </c>
      <c r="M26" s="9" t="s">
        <v>197</v>
      </c>
      <c r="N26" t="s">
        <v>53</v>
      </c>
      <c r="O26" t="s">
        <v>54</v>
      </c>
      <c r="P26" t="s">
        <v>54</v>
      </c>
      <c r="Q26" t="str">
        <f>_xlfn.XLOOKUP(tblEncounters[[#This Row],[Hospital_ID]],Table1[Hospital_ID],Table1[Hospital_Name],"Not Found")</f>
        <v>Europa Health Institute</v>
      </c>
      <c r="R26" t="str">
        <f>_xlfn.XLOOKUP(tblEncounters[[#This Row],[Hospital_ID]],Table1[Hospital_ID],Table1[Country],"Not Found")</f>
        <v xml:space="preserve">Belgium </v>
      </c>
      <c r="S26" t="str">
        <f>_xlfn.XLOOKUP(tblEncounters[[#This Row],[Hospital_ID]],Table1[Hospital_ID],Table1[FHIR_Enabled],"Not Found")</f>
        <v>Yes</v>
      </c>
    </row>
    <row r="27" spans="1:19">
      <c r="A27" t="s">
        <v>108</v>
      </c>
      <c r="B27" t="s">
        <v>158</v>
      </c>
      <c r="C27" t="s">
        <v>16</v>
      </c>
      <c r="D27">
        <v>45</v>
      </c>
      <c r="E27" t="str">
        <f>IF(tblEncounters[[#This Row],[Age]]&lt;30,"18-29",IF(tblEncounters[[#This Row],[Age]]&lt;45,"30-44",IF(tblEncounters[[#This Row],[Age]]&lt;60,"45-59",IF(tblEncounters[[#This Row],[Age]]&lt;75,"60-74","75+"))))</f>
        <v>45-59</v>
      </c>
      <c r="F27" t="s">
        <v>183</v>
      </c>
      <c r="G27" t="s">
        <v>186</v>
      </c>
      <c r="H27" t="s">
        <v>192</v>
      </c>
      <c r="I27" s="10">
        <v>46041</v>
      </c>
      <c r="J27" s="10">
        <f ca="1">tblEncounters[[#This Row],[Admission_Date]]+RANDBETWEEN(1,12)</f>
        <v>46045</v>
      </c>
      <c r="K27">
        <f ca="1">tblEncounters[[#This Row],[Discharge_Date]]-tblEncounters[[#This Row],[Admission_Date]]</f>
        <v>4</v>
      </c>
      <c r="L27" s="10" t="s">
        <v>54</v>
      </c>
      <c r="M27" s="9" t="s">
        <v>193</v>
      </c>
      <c r="N27" t="s">
        <v>53</v>
      </c>
      <c r="O27" t="s">
        <v>54</v>
      </c>
      <c r="P27" t="s">
        <v>53</v>
      </c>
      <c r="Q27" t="str">
        <f>_xlfn.XLOOKUP(tblEncounters[[#This Row],[Hospital_ID]],Table1[Hospital_ID],Table1[Hospital_Name],"Not Found")</f>
        <v>Marbel General Hospital</v>
      </c>
      <c r="R27" t="str">
        <f>_xlfn.XLOOKUP(tblEncounters[[#This Row],[Hospital_ID]],Table1[Hospital_ID],Table1[Country],"Not Found")</f>
        <v>Sweden</v>
      </c>
      <c r="S27" t="str">
        <f>_xlfn.XLOOKUP(tblEncounters[[#This Row],[Hospital_ID]],Table1[Hospital_ID],Table1[FHIR_Enabled],"Not Found")</f>
        <v>Yes</v>
      </c>
    </row>
    <row r="28" spans="1:19">
      <c r="A28" t="s">
        <v>109</v>
      </c>
      <c r="B28" t="s">
        <v>159</v>
      </c>
      <c r="C28" t="s">
        <v>17</v>
      </c>
      <c r="D28">
        <v>48</v>
      </c>
      <c r="E28" t="str">
        <f>IF(tblEncounters[[#This Row],[Age]]&lt;30,"18-29",IF(tblEncounters[[#This Row],[Age]]&lt;45,"30-44",IF(tblEncounters[[#This Row],[Age]]&lt;60,"45-59",IF(tblEncounters[[#This Row],[Age]]&lt;75,"60-74","75+"))))</f>
        <v>45-59</v>
      </c>
      <c r="F28" t="s">
        <v>184</v>
      </c>
      <c r="G28" t="s">
        <v>187</v>
      </c>
      <c r="H28" t="s">
        <v>191</v>
      </c>
      <c r="I28" s="10">
        <v>46079</v>
      </c>
      <c r="J28" s="10">
        <f ca="1">tblEncounters[[#This Row],[Admission_Date]]+RANDBETWEEN(1,12)</f>
        <v>46081</v>
      </c>
      <c r="K28">
        <f ca="1">tblEncounters[[#This Row],[Discharge_Date]]-tblEncounters[[#This Row],[Admission_Date]]</f>
        <v>2</v>
      </c>
      <c r="L28" s="10" t="s">
        <v>53</v>
      </c>
      <c r="M28" s="9" t="s">
        <v>194</v>
      </c>
      <c r="N28" t="s">
        <v>53</v>
      </c>
      <c r="O28" t="s">
        <v>53</v>
      </c>
      <c r="P28" t="s">
        <v>53</v>
      </c>
      <c r="Q28" t="str">
        <f>_xlfn.XLOOKUP(tblEncounters[[#This Row],[Hospital_ID]],Table1[Hospital_ID],Table1[Hospital_Name],"Not Found")</f>
        <v>Helix Medical Centre</v>
      </c>
      <c r="R28" t="str">
        <f>_xlfn.XLOOKUP(tblEncounters[[#This Row],[Hospital_ID]],Table1[Hospital_ID],Table1[Country],"Not Found")</f>
        <v>Denmark</v>
      </c>
      <c r="S28" t="str">
        <f>_xlfn.XLOOKUP(tblEncounters[[#This Row],[Hospital_ID]],Table1[Hospital_ID],Table1[FHIR_Enabled],"Not Found")</f>
        <v>Partial</v>
      </c>
    </row>
    <row r="29" spans="1:19">
      <c r="A29" t="s">
        <v>110</v>
      </c>
      <c r="B29" t="s">
        <v>160</v>
      </c>
      <c r="C29" t="s">
        <v>18</v>
      </c>
      <c r="D29">
        <v>53</v>
      </c>
      <c r="E29" t="str">
        <f>IF(tblEncounters[[#This Row],[Age]]&lt;30,"18-29",IF(tblEncounters[[#This Row],[Age]]&lt;45,"30-44",IF(tblEncounters[[#This Row],[Age]]&lt;60,"45-59",IF(tblEncounters[[#This Row],[Age]]&lt;75,"60-74","75+"))))</f>
        <v>45-59</v>
      </c>
      <c r="F29" t="s">
        <v>184</v>
      </c>
      <c r="G29" t="s">
        <v>188</v>
      </c>
      <c r="H29" t="s">
        <v>192</v>
      </c>
      <c r="I29" s="10">
        <v>46052</v>
      </c>
      <c r="J29" s="10">
        <f ca="1">tblEncounters[[#This Row],[Admission_Date]]+RANDBETWEEN(1,12)</f>
        <v>46064</v>
      </c>
      <c r="K29">
        <f ca="1">tblEncounters[[#This Row],[Discharge_Date]]-tblEncounters[[#This Row],[Admission_Date]]</f>
        <v>12</v>
      </c>
      <c r="L29" s="10" t="s">
        <v>54</v>
      </c>
      <c r="M29" t="s">
        <v>195</v>
      </c>
      <c r="N29" t="s">
        <v>53</v>
      </c>
      <c r="O29" t="s">
        <v>54</v>
      </c>
      <c r="P29" t="s">
        <v>54</v>
      </c>
      <c r="Q29" t="str">
        <f>_xlfn.XLOOKUP(tblEncounters[[#This Row],[Hospital_ID]],Table1[Hospital_ID],Table1[Hospital_Name],"Not Found")</f>
        <v>St.Aldric University Hospital</v>
      </c>
      <c r="R29" t="str">
        <f>_xlfn.XLOOKUP(tblEncounters[[#This Row],[Hospital_ID]],Table1[Hospital_ID],Table1[Country],"Not Found")</f>
        <v>Finland</v>
      </c>
      <c r="S29" t="str">
        <f>_xlfn.XLOOKUP(tblEncounters[[#This Row],[Hospital_ID]],Table1[Hospital_ID],Table1[FHIR_Enabled],"Not Found")</f>
        <v>Yes</v>
      </c>
    </row>
    <row r="30" spans="1:19">
      <c r="A30" t="s">
        <v>111</v>
      </c>
      <c r="B30" t="s">
        <v>161</v>
      </c>
      <c r="C30" t="s">
        <v>19</v>
      </c>
      <c r="D30">
        <v>41</v>
      </c>
      <c r="E30" t="str">
        <f>IF(tblEncounters[[#This Row],[Age]]&lt;30,"18-29",IF(tblEncounters[[#This Row],[Age]]&lt;45,"30-44",IF(tblEncounters[[#This Row],[Age]]&lt;60,"45-59",IF(tblEncounters[[#This Row],[Age]]&lt;75,"60-74","75+"))))</f>
        <v>30-44</v>
      </c>
      <c r="F30" t="s">
        <v>183</v>
      </c>
      <c r="G30" t="s">
        <v>189</v>
      </c>
      <c r="H30" t="s">
        <v>191</v>
      </c>
      <c r="I30" s="10">
        <v>46087</v>
      </c>
      <c r="J30" s="10">
        <f ca="1">tblEncounters[[#This Row],[Admission_Date]]+RANDBETWEEN(1,12)</f>
        <v>46092</v>
      </c>
      <c r="K30">
        <f ca="1">tblEncounters[[#This Row],[Discharge_Date]]-tblEncounters[[#This Row],[Admission_Date]]</f>
        <v>5</v>
      </c>
      <c r="L30" s="10" t="s">
        <v>54</v>
      </c>
      <c r="M30" s="9" t="s">
        <v>196</v>
      </c>
      <c r="N30" t="s">
        <v>53</v>
      </c>
      <c r="O30" t="s">
        <v>54</v>
      </c>
      <c r="P30" t="s">
        <v>54</v>
      </c>
      <c r="Q30" t="str">
        <f>_xlfn.XLOOKUP(tblEncounters[[#This Row],[Hospital_ID]],Table1[Hospital_ID],Table1[Hospital_Name],"Not Found")</f>
        <v>Clinica Santa Marisol</v>
      </c>
      <c r="R30" t="str">
        <f>_xlfn.XLOOKUP(tblEncounters[[#This Row],[Hospital_ID]],Table1[Hospital_ID],Table1[Country],"Not Found")</f>
        <v>Spain</v>
      </c>
      <c r="S30" t="str">
        <f>_xlfn.XLOOKUP(tblEncounters[[#This Row],[Hospital_ID]],Table1[Hospital_ID],Table1[FHIR_Enabled],"Not Found")</f>
        <v>Partial</v>
      </c>
    </row>
    <row r="31" spans="1:19">
      <c r="A31" t="s">
        <v>112</v>
      </c>
      <c r="B31" t="s">
        <v>162</v>
      </c>
      <c r="C31" t="s">
        <v>20</v>
      </c>
      <c r="D31">
        <v>26</v>
      </c>
      <c r="E31" t="str">
        <f>IF(tblEncounters[[#This Row],[Age]]&lt;30,"18-29",IF(tblEncounters[[#This Row],[Age]]&lt;45,"30-44",IF(tblEncounters[[#This Row],[Age]]&lt;60,"45-59",IF(tblEncounters[[#This Row],[Age]]&lt;75,"60-74","75+"))))</f>
        <v>18-29</v>
      </c>
      <c r="F31" t="s">
        <v>184</v>
      </c>
      <c r="G31" t="s">
        <v>190</v>
      </c>
      <c r="H31" t="s">
        <v>192</v>
      </c>
      <c r="I31" s="10">
        <v>46068</v>
      </c>
      <c r="J31" s="10">
        <f ca="1">tblEncounters[[#This Row],[Admission_Date]]+RANDBETWEEN(1,12)</f>
        <v>46076</v>
      </c>
      <c r="K31">
        <f ca="1">tblEncounters[[#This Row],[Discharge_Date]]-tblEncounters[[#This Row],[Admission_Date]]</f>
        <v>8</v>
      </c>
      <c r="L31" s="10" t="s">
        <v>54</v>
      </c>
      <c r="M31" s="9" t="s">
        <v>197</v>
      </c>
      <c r="N31" t="s">
        <v>53</v>
      </c>
      <c r="O31" t="s">
        <v>54</v>
      </c>
      <c r="P31" t="s">
        <v>54</v>
      </c>
      <c r="Q31" t="str">
        <f>_xlfn.XLOOKUP(tblEncounters[[#This Row],[Hospital_ID]],Table1[Hospital_ID],Table1[Hospital_Name],"Not Found")</f>
        <v>Nordhavan Regional Medical Centre</v>
      </c>
      <c r="R31" t="str">
        <f>_xlfn.XLOOKUP(tblEncounters[[#This Row],[Hospital_ID]],Table1[Hospital_ID],Table1[Country],"Not Found")</f>
        <v>Italy</v>
      </c>
      <c r="S31" t="str">
        <f>_xlfn.XLOOKUP(tblEncounters[[#This Row],[Hospital_ID]],Table1[Hospital_ID],Table1[FHIR_Enabled],"Not Found")</f>
        <v>No</v>
      </c>
    </row>
    <row r="32" spans="1:19">
      <c r="A32" t="s">
        <v>113</v>
      </c>
      <c r="B32" t="s">
        <v>163</v>
      </c>
      <c r="C32" t="s">
        <v>11</v>
      </c>
      <c r="D32">
        <v>48</v>
      </c>
      <c r="E32" t="str">
        <f>IF(tblEncounters[[#This Row],[Age]]&lt;30,"18-29",IF(tblEncounters[[#This Row],[Age]]&lt;45,"30-44",IF(tblEncounters[[#This Row],[Age]]&lt;60,"45-59",IF(tblEncounters[[#This Row],[Age]]&lt;75,"60-74","75+"))))</f>
        <v>45-59</v>
      </c>
      <c r="F32" t="s">
        <v>183</v>
      </c>
      <c r="G32" t="s">
        <v>185</v>
      </c>
      <c r="H32" t="s">
        <v>191</v>
      </c>
      <c r="I32" s="10">
        <v>46063</v>
      </c>
      <c r="J32" s="10">
        <f ca="1">tblEncounters[[#This Row],[Admission_Date]]+RANDBETWEEN(1,12)</f>
        <v>46074</v>
      </c>
      <c r="K32">
        <f ca="1">tblEncounters[[#This Row],[Discharge_Date]]-tblEncounters[[#This Row],[Admission_Date]]</f>
        <v>11</v>
      </c>
      <c r="L32" s="10" t="s">
        <v>53</v>
      </c>
      <c r="M32" s="9" t="s">
        <v>193</v>
      </c>
      <c r="N32" t="s">
        <v>53</v>
      </c>
      <c r="O32" t="s">
        <v>54</v>
      </c>
      <c r="P32" t="s">
        <v>54</v>
      </c>
      <c r="Q32" t="str">
        <f>_xlfn.XLOOKUP(tblEncounters[[#This Row],[Hospital_ID]],Table1[Hospital_ID],Table1[Hospital_Name],"Not Found")</f>
        <v>Nova Medical Centre</v>
      </c>
      <c r="R32" t="str">
        <f>_xlfn.XLOOKUP(tblEncounters[[#This Row],[Hospital_ID]],Table1[Hospital_ID],Table1[Country],"Not Found")</f>
        <v>Germany</v>
      </c>
      <c r="S32" t="str">
        <f>_xlfn.XLOOKUP(tblEncounters[[#This Row],[Hospital_ID]],Table1[Hospital_ID],Table1[FHIR_Enabled],"Not Found")</f>
        <v>Yes</v>
      </c>
    </row>
    <row r="33" spans="1:19">
      <c r="A33" t="s">
        <v>114</v>
      </c>
      <c r="B33" t="s">
        <v>164</v>
      </c>
      <c r="C33" t="s">
        <v>12</v>
      </c>
      <c r="D33">
        <v>66</v>
      </c>
      <c r="E33" t="str">
        <f>IF(tblEncounters[[#This Row],[Age]]&lt;30,"18-29",IF(tblEncounters[[#This Row],[Age]]&lt;45,"30-44",IF(tblEncounters[[#This Row],[Age]]&lt;60,"45-59",IF(tblEncounters[[#This Row],[Age]]&lt;75,"60-74","75+"))))</f>
        <v>60-74</v>
      </c>
      <c r="F33" t="s">
        <v>184</v>
      </c>
      <c r="G33" t="s">
        <v>186</v>
      </c>
      <c r="H33" t="s">
        <v>192</v>
      </c>
      <c r="I33" s="10">
        <v>46080</v>
      </c>
      <c r="J33" s="10">
        <f ca="1">tblEncounters[[#This Row],[Admission_Date]]+RANDBETWEEN(1,12)</f>
        <v>46086</v>
      </c>
      <c r="K33">
        <f ca="1">tblEncounters[[#This Row],[Discharge_Date]]-tblEncounters[[#This Row],[Admission_Date]]</f>
        <v>6</v>
      </c>
      <c r="L33" s="10" t="s">
        <v>54</v>
      </c>
      <c r="M33" s="9" t="s">
        <v>194</v>
      </c>
      <c r="N33" t="s">
        <v>53</v>
      </c>
      <c r="O33" t="s">
        <v>54</v>
      </c>
      <c r="P33" t="s">
        <v>54</v>
      </c>
      <c r="Q33" t="str">
        <f>_xlfn.XLOOKUP(tblEncounters[[#This Row],[Hospital_ID]],Table1[Hospital_ID],Table1[Hospital_Name],"Not Found")</f>
        <v>Aurora Medical Centre</v>
      </c>
      <c r="R33" t="str">
        <f>_xlfn.XLOOKUP(tblEncounters[[#This Row],[Hospital_ID]],Table1[Hospital_ID],Table1[Country],"Not Found")</f>
        <v>Netherland</v>
      </c>
      <c r="S33" t="str">
        <f>_xlfn.XLOOKUP(tblEncounters[[#This Row],[Hospital_ID]],Table1[Hospital_ID],Table1[FHIR_Enabled],"Not Found")</f>
        <v>Yes</v>
      </c>
    </row>
    <row r="34" spans="1:19">
      <c r="A34" t="s">
        <v>115</v>
      </c>
      <c r="B34" t="s">
        <v>165</v>
      </c>
      <c r="C34" t="s">
        <v>13</v>
      </c>
      <c r="D34">
        <v>19</v>
      </c>
      <c r="E34" t="str">
        <f>IF(tblEncounters[[#This Row],[Age]]&lt;30,"18-29",IF(tblEncounters[[#This Row],[Age]]&lt;45,"30-44",IF(tblEncounters[[#This Row],[Age]]&lt;60,"45-59",IF(tblEncounters[[#This Row],[Age]]&lt;75,"60-74","75+"))))</f>
        <v>18-29</v>
      </c>
      <c r="F34" t="s">
        <v>183</v>
      </c>
      <c r="G34" t="s">
        <v>187</v>
      </c>
      <c r="H34" t="s">
        <v>191</v>
      </c>
      <c r="I34" s="10">
        <v>46075</v>
      </c>
      <c r="J34" s="10">
        <f ca="1">tblEncounters[[#This Row],[Admission_Date]]+RANDBETWEEN(1,12)</f>
        <v>46086</v>
      </c>
      <c r="K34">
        <f ca="1">tblEncounters[[#This Row],[Discharge_Date]]-tblEncounters[[#This Row],[Admission_Date]]</f>
        <v>11</v>
      </c>
      <c r="L34" s="10" t="s">
        <v>53</v>
      </c>
      <c r="M34" t="s">
        <v>195</v>
      </c>
      <c r="N34" t="s">
        <v>53</v>
      </c>
      <c r="O34" t="s">
        <v>54</v>
      </c>
      <c r="P34" t="s">
        <v>54</v>
      </c>
      <c r="Q34" t="str">
        <f>_xlfn.XLOOKUP(tblEncounters[[#This Row],[Hospital_ID]],Table1[Hospital_ID],Table1[Hospital_Name],"Not Found")</f>
        <v>Helis General Hospital</v>
      </c>
      <c r="R34" t="str">
        <f>_xlfn.XLOOKUP(tblEncounters[[#This Row],[Hospital_ID]],Table1[Hospital_ID],Table1[Country],"Not Found")</f>
        <v>Austria</v>
      </c>
      <c r="S34" t="str">
        <f>_xlfn.XLOOKUP(tblEncounters[[#This Row],[Hospital_ID]],Table1[Hospital_ID],Table1[FHIR_Enabled],"Not Found")</f>
        <v>Partial</v>
      </c>
    </row>
    <row r="35" spans="1:19">
      <c r="A35" t="s">
        <v>116</v>
      </c>
      <c r="B35" t="s">
        <v>166</v>
      </c>
      <c r="C35" t="s">
        <v>14</v>
      </c>
      <c r="D35">
        <v>27</v>
      </c>
      <c r="E35" t="str">
        <f>IF(tblEncounters[[#This Row],[Age]]&lt;30,"18-29",IF(tblEncounters[[#This Row],[Age]]&lt;45,"30-44",IF(tblEncounters[[#This Row],[Age]]&lt;60,"45-59",IF(tblEncounters[[#This Row],[Age]]&lt;75,"60-74","75+"))))</f>
        <v>18-29</v>
      </c>
      <c r="F35" t="s">
        <v>184</v>
      </c>
      <c r="G35" t="s">
        <v>188</v>
      </c>
      <c r="H35" t="s">
        <v>192</v>
      </c>
      <c r="I35" s="10">
        <v>46102</v>
      </c>
      <c r="J35" s="10">
        <f ca="1">tblEncounters[[#This Row],[Admission_Date]]+RANDBETWEEN(1,12)</f>
        <v>46106</v>
      </c>
      <c r="K35">
        <f ca="1">tblEncounters[[#This Row],[Discharge_Date]]-tblEncounters[[#This Row],[Admission_Date]]</f>
        <v>4</v>
      </c>
      <c r="L35" s="10" t="s">
        <v>54</v>
      </c>
      <c r="M35" s="9" t="s">
        <v>196</v>
      </c>
      <c r="N35" t="s">
        <v>53</v>
      </c>
      <c r="O35" t="s">
        <v>54</v>
      </c>
      <c r="P35" t="s">
        <v>54</v>
      </c>
      <c r="Q35" t="str">
        <f>_xlfn.XLOOKUP(tblEncounters[[#This Row],[Hospital_ID]],Table1[Hospital_ID],Table1[Hospital_Name],"Not Found")</f>
        <v>St. Clara Medical Centre</v>
      </c>
      <c r="R35" t="str">
        <f>_xlfn.XLOOKUP(tblEncounters[[#This Row],[Hospital_ID]],Table1[Hospital_ID],Table1[Country],"Not Found")</f>
        <v>France</v>
      </c>
      <c r="S35" t="str">
        <f>_xlfn.XLOOKUP(tblEncounters[[#This Row],[Hospital_ID]],Table1[Hospital_ID],Table1[FHIR_Enabled],"Not Found")</f>
        <v>Yes</v>
      </c>
    </row>
    <row r="36" spans="1:19">
      <c r="A36" t="s">
        <v>117</v>
      </c>
      <c r="B36" t="s">
        <v>167</v>
      </c>
      <c r="C36" t="s">
        <v>15</v>
      </c>
      <c r="D36">
        <v>70</v>
      </c>
      <c r="E36" t="str">
        <f>IF(tblEncounters[[#This Row],[Age]]&lt;30,"18-29",IF(tblEncounters[[#This Row],[Age]]&lt;45,"30-44",IF(tblEncounters[[#This Row],[Age]]&lt;60,"45-59",IF(tblEncounters[[#This Row],[Age]]&lt;75,"60-74","75+"))))</f>
        <v>60-74</v>
      </c>
      <c r="F36" t="s">
        <v>183</v>
      </c>
      <c r="G36" t="s">
        <v>189</v>
      </c>
      <c r="H36" t="s">
        <v>191</v>
      </c>
      <c r="I36" s="10">
        <v>46095</v>
      </c>
      <c r="J36" s="10">
        <f ca="1">tblEncounters[[#This Row],[Admission_Date]]+RANDBETWEEN(1,12)</f>
        <v>46097</v>
      </c>
      <c r="K36">
        <f ca="1">tblEncounters[[#This Row],[Discharge_Date]]-tblEncounters[[#This Row],[Admission_Date]]</f>
        <v>2</v>
      </c>
      <c r="L36" s="10" t="s">
        <v>54</v>
      </c>
      <c r="M36" s="9" t="s">
        <v>197</v>
      </c>
      <c r="N36" t="s">
        <v>53</v>
      </c>
      <c r="O36" t="s">
        <v>54</v>
      </c>
      <c r="P36" t="s">
        <v>54</v>
      </c>
      <c r="Q36" t="str">
        <f>_xlfn.XLOOKUP(tblEncounters[[#This Row],[Hospital_ID]],Table1[Hospital_ID],Table1[Hospital_Name],"Not Found")</f>
        <v>Europa Health Institute</v>
      </c>
      <c r="R36" t="str">
        <f>_xlfn.XLOOKUP(tblEncounters[[#This Row],[Hospital_ID]],Table1[Hospital_ID],Table1[Country],"Not Found")</f>
        <v xml:space="preserve">Belgium </v>
      </c>
      <c r="S36" t="str">
        <f>_xlfn.XLOOKUP(tblEncounters[[#This Row],[Hospital_ID]],Table1[Hospital_ID],Table1[FHIR_Enabled],"Not Found")</f>
        <v>Yes</v>
      </c>
    </row>
    <row r="37" spans="1:19">
      <c r="A37" t="s">
        <v>118</v>
      </c>
      <c r="B37" t="s">
        <v>168</v>
      </c>
      <c r="C37" t="s">
        <v>16</v>
      </c>
      <c r="D37">
        <v>38</v>
      </c>
      <c r="E37" t="str">
        <f>IF(tblEncounters[[#This Row],[Age]]&lt;30,"18-29",IF(tblEncounters[[#This Row],[Age]]&lt;45,"30-44",IF(tblEncounters[[#This Row],[Age]]&lt;60,"45-59",IF(tblEncounters[[#This Row],[Age]]&lt;75,"60-74","75+"))))</f>
        <v>30-44</v>
      </c>
      <c r="F37" t="s">
        <v>184</v>
      </c>
      <c r="G37" t="s">
        <v>190</v>
      </c>
      <c r="H37" t="s">
        <v>192</v>
      </c>
      <c r="I37" s="10">
        <v>46026</v>
      </c>
      <c r="J37" s="10">
        <f ca="1">tblEncounters[[#This Row],[Admission_Date]]+RANDBETWEEN(1,12)</f>
        <v>46033</v>
      </c>
      <c r="K37">
        <f ca="1">tblEncounters[[#This Row],[Discharge_Date]]-tblEncounters[[#This Row],[Admission_Date]]</f>
        <v>7</v>
      </c>
      <c r="L37" s="10" t="s">
        <v>54</v>
      </c>
      <c r="M37" s="9" t="s">
        <v>193</v>
      </c>
      <c r="N37" t="s">
        <v>53</v>
      </c>
      <c r="O37" t="s">
        <v>54</v>
      </c>
      <c r="P37" t="s">
        <v>53</v>
      </c>
      <c r="Q37" t="str">
        <f>_xlfn.XLOOKUP(tblEncounters[[#This Row],[Hospital_ID]],Table1[Hospital_ID],Table1[Hospital_Name],"Not Found")</f>
        <v>Marbel General Hospital</v>
      </c>
      <c r="R37" t="str">
        <f>_xlfn.XLOOKUP(tblEncounters[[#This Row],[Hospital_ID]],Table1[Hospital_ID],Table1[Country],"Not Found")</f>
        <v>Sweden</v>
      </c>
      <c r="S37" t="str">
        <f>_xlfn.XLOOKUP(tblEncounters[[#This Row],[Hospital_ID]],Table1[Hospital_ID],Table1[FHIR_Enabled],"Not Found")</f>
        <v>Yes</v>
      </c>
    </row>
    <row r="38" spans="1:19">
      <c r="A38" t="s">
        <v>119</v>
      </c>
      <c r="B38" t="s">
        <v>169</v>
      </c>
      <c r="C38" t="s">
        <v>17</v>
      </c>
      <c r="D38">
        <v>26</v>
      </c>
      <c r="E38" t="str">
        <f>IF(tblEncounters[[#This Row],[Age]]&lt;30,"18-29",IF(tblEncounters[[#This Row],[Age]]&lt;45,"30-44",IF(tblEncounters[[#This Row],[Age]]&lt;60,"45-59",IF(tblEncounters[[#This Row],[Age]]&lt;75,"60-74","75+"))))</f>
        <v>18-29</v>
      </c>
      <c r="F38" t="s">
        <v>183</v>
      </c>
      <c r="G38" t="s">
        <v>185</v>
      </c>
      <c r="H38" t="s">
        <v>191</v>
      </c>
      <c r="I38" s="10">
        <v>46106</v>
      </c>
      <c r="J38" s="10">
        <f ca="1">tblEncounters[[#This Row],[Admission_Date]]+RANDBETWEEN(1,12)</f>
        <v>46113</v>
      </c>
      <c r="K38">
        <f ca="1">tblEncounters[[#This Row],[Discharge_Date]]-tblEncounters[[#This Row],[Admission_Date]]</f>
        <v>7</v>
      </c>
      <c r="L38" s="10" t="s">
        <v>53</v>
      </c>
      <c r="M38" s="9" t="s">
        <v>194</v>
      </c>
      <c r="N38" t="s">
        <v>53</v>
      </c>
      <c r="O38" t="s">
        <v>54</v>
      </c>
      <c r="P38" t="s">
        <v>53</v>
      </c>
      <c r="Q38" t="str">
        <f>_xlfn.XLOOKUP(tblEncounters[[#This Row],[Hospital_ID]],Table1[Hospital_ID],Table1[Hospital_Name],"Not Found")</f>
        <v>Helix Medical Centre</v>
      </c>
      <c r="R38" t="str">
        <f>_xlfn.XLOOKUP(tblEncounters[[#This Row],[Hospital_ID]],Table1[Hospital_ID],Table1[Country],"Not Found")</f>
        <v>Denmark</v>
      </c>
      <c r="S38" t="str">
        <f>_xlfn.XLOOKUP(tblEncounters[[#This Row],[Hospital_ID]],Table1[Hospital_ID],Table1[FHIR_Enabled],"Not Found")</f>
        <v>Partial</v>
      </c>
    </row>
    <row r="39" spans="1:19">
      <c r="A39" t="s">
        <v>120</v>
      </c>
      <c r="B39" t="s">
        <v>170</v>
      </c>
      <c r="C39" t="s">
        <v>18</v>
      </c>
      <c r="D39">
        <v>87</v>
      </c>
      <c r="E39" t="str">
        <f>IF(tblEncounters[[#This Row],[Age]]&lt;30,"18-29",IF(tblEncounters[[#This Row],[Age]]&lt;45,"30-44",IF(tblEncounters[[#This Row],[Age]]&lt;60,"45-59",IF(tblEncounters[[#This Row],[Age]]&lt;75,"60-74","75+"))))</f>
        <v>75+</v>
      </c>
      <c r="F39" t="s">
        <v>184</v>
      </c>
      <c r="G39" t="s">
        <v>186</v>
      </c>
      <c r="H39" t="s">
        <v>192</v>
      </c>
      <c r="I39" s="10">
        <v>46079</v>
      </c>
      <c r="J39" s="10">
        <f ca="1">tblEncounters[[#This Row],[Admission_Date]]+RANDBETWEEN(1,12)</f>
        <v>46091</v>
      </c>
      <c r="K39">
        <f ca="1">tblEncounters[[#This Row],[Discharge_Date]]-tblEncounters[[#This Row],[Admission_Date]]</f>
        <v>12</v>
      </c>
      <c r="L39" s="10" t="s">
        <v>54</v>
      </c>
      <c r="M39" t="s">
        <v>195</v>
      </c>
      <c r="N39" t="s">
        <v>53</v>
      </c>
      <c r="O39" t="s">
        <v>54</v>
      </c>
      <c r="P39" t="s">
        <v>53</v>
      </c>
      <c r="Q39" t="str">
        <f>_xlfn.XLOOKUP(tblEncounters[[#This Row],[Hospital_ID]],Table1[Hospital_ID],Table1[Hospital_Name],"Not Found")</f>
        <v>St.Aldric University Hospital</v>
      </c>
      <c r="R39" t="str">
        <f>_xlfn.XLOOKUP(tblEncounters[[#This Row],[Hospital_ID]],Table1[Hospital_ID],Table1[Country],"Not Found")</f>
        <v>Finland</v>
      </c>
      <c r="S39" t="str">
        <f>_xlfn.XLOOKUP(tblEncounters[[#This Row],[Hospital_ID]],Table1[Hospital_ID],Table1[FHIR_Enabled],"Not Found")</f>
        <v>Yes</v>
      </c>
    </row>
    <row r="40" spans="1:19">
      <c r="A40" t="s">
        <v>121</v>
      </c>
      <c r="B40" t="s">
        <v>171</v>
      </c>
      <c r="C40" t="s">
        <v>19</v>
      </c>
      <c r="D40">
        <v>67</v>
      </c>
      <c r="E40" t="str">
        <f>IF(tblEncounters[[#This Row],[Age]]&lt;30,"18-29",IF(tblEncounters[[#This Row],[Age]]&lt;45,"30-44",IF(tblEncounters[[#This Row],[Age]]&lt;60,"45-59",IF(tblEncounters[[#This Row],[Age]]&lt;75,"60-74","75+"))))</f>
        <v>60-74</v>
      </c>
      <c r="F40" t="s">
        <v>183</v>
      </c>
      <c r="G40" t="s">
        <v>187</v>
      </c>
      <c r="H40" t="s">
        <v>191</v>
      </c>
      <c r="I40" s="10">
        <v>46075</v>
      </c>
      <c r="J40" s="10">
        <f ca="1">tblEncounters[[#This Row],[Admission_Date]]+RANDBETWEEN(1,12)</f>
        <v>46081</v>
      </c>
      <c r="K40">
        <f ca="1">tblEncounters[[#This Row],[Discharge_Date]]-tblEncounters[[#This Row],[Admission_Date]]</f>
        <v>6</v>
      </c>
      <c r="L40" s="10" t="s">
        <v>54</v>
      </c>
      <c r="M40" s="9" t="s">
        <v>196</v>
      </c>
      <c r="N40" t="s">
        <v>53</v>
      </c>
      <c r="O40" t="s">
        <v>54</v>
      </c>
      <c r="P40" t="s">
        <v>54</v>
      </c>
      <c r="Q40" t="str">
        <f>_xlfn.XLOOKUP(tblEncounters[[#This Row],[Hospital_ID]],Table1[Hospital_ID],Table1[Hospital_Name],"Not Found")</f>
        <v>Clinica Santa Marisol</v>
      </c>
      <c r="R40" t="str">
        <f>_xlfn.XLOOKUP(tblEncounters[[#This Row],[Hospital_ID]],Table1[Hospital_ID],Table1[Country],"Not Found")</f>
        <v>Spain</v>
      </c>
      <c r="S40" t="str">
        <f>_xlfn.XLOOKUP(tblEncounters[[#This Row],[Hospital_ID]],Table1[Hospital_ID],Table1[FHIR_Enabled],"Not Found")</f>
        <v>Partial</v>
      </c>
    </row>
    <row r="41" spans="1:19">
      <c r="A41" t="s">
        <v>122</v>
      </c>
      <c r="B41" t="s">
        <v>172</v>
      </c>
      <c r="C41" t="s">
        <v>20</v>
      </c>
      <c r="D41">
        <v>64</v>
      </c>
      <c r="E41" t="str">
        <f>IF(tblEncounters[[#This Row],[Age]]&lt;30,"18-29",IF(tblEncounters[[#This Row],[Age]]&lt;45,"30-44",IF(tblEncounters[[#This Row],[Age]]&lt;60,"45-59",IF(tblEncounters[[#This Row],[Age]]&lt;75,"60-74","75+"))))</f>
        <v>60-74</v>
      </c>
      <c r="F41" t="s">
        <v>184</v>
      </c>
      <c r="G41" t="s">
        <v>188</v>
      </c>
      <c r="H41" t="s">
        <v>192</v>
      </c>
      <c r="I41" s="10">
        <v>46063</v>
      </c>
      <c r="J41" s="10">
        <f ca="1">tblEncounters[[#This Row],[Admission_Date]]+RANDBETWEEN(1,12)</f>
        <v>46074</v>
      </c>
      <c r="K41">
        <f ca="1">tblEncounters[[#This Row],[Discharge_Date]]-tblEncounters[[#This Row],[Admission_Date]]</f>
        <v>11</v>
      </c>
      <c r="L41" s="10" t="s">
        <v>54</v>
      </c>
      <c r="M41" s="9" t="s">
        <v>197</v>
      </c>
      <c r="N41" t="s">
        <v>53</v>
      </c>
      <c r="O41" t="s">
        <v>54</v>
      </c>
      <c r="P41" t="s">
        <v>53</v>
      </c>
      <c r="Q41" t="str">
        <f>_xlfn.XLOOKUP(tblEncounters[[#This Row],[Hospital_ID]],Table1[Hospital_ID],Table1[Hospital_Name],"Not Found")</f>
        <v>Nordhavan Regional Medical Centre</v>
      </c>
      <c r="R41" t="str">
        <f>_xlfn.XLOOKUP(tblEncounters[[#This Row],[Hospital_ID]],Table1[Hospital_ID],Table1[Country],"Not Found")</f>
        <v>Italy</v>
      </c>
      <c r="S41" t="str">
        <f>_xlfn.XLOOKUP(tblEncounters[[#This Row],[Hospital_ID]],Table1[Hospital_ID],Table1[FHIR_Enabled],"Not Found")</f>
        <v>No</v>
      </c>
    </row>
    <row r="42" spans="1:19">
      <c r="A42" t="s">
        <v>123</v>
      </c>
      <c r="B42" t="s">
        <v>173</v>
      </c>
      <c r="C42" t="s">
        <v>11</v>
      </c>
      <c r="D42">
        <v>67</v>
      </c>
      <c r="E42" t="str">
        <f>IF(tblEncounters[[#This Row],[Age]]&lt;30,"18-29",IF(tblEncounters[[#This Row],[Age]]&lt;45,"30-44",IF(tblEncounters[[#This Row],[Age]]&lt;60,"45-59",IF(tblEncounters[[#This Row],[Age]]&lt;75,"60-74","75+"))))</f>
        <v>60-74</v>
      </c>
      <c r="F42" t="s">
        <v>183</v>
      </c>
      <c r="G42" t="s">
        <v>189</v>
      </c>
      <c r="H42" t="s">
        <v>191</v>
      </c>
      <c r="I42" s="10">
        <v>46045</v>
      </c>
      <c r="J42" s="10">
        <f ca="1">tblEncounters[[#This Row],[Admission_Date]]+RANDBETWEEN(1,12)</f>
        <v>46056</v>
      </c>
      <c r="K42">
        <f ca="1">tblEncounters[[#This Row],[Discharge_Date]]-tblEncounters[[#This Row],[Admission_Date]]</f>
        <v>11</v>
      </c>
      <c r="L42" s="10" t="s">
        <v>53</v>
      </c>
      <c r="M42" s="9" t="s">
        <v>193</v>
      </c>
      <c r="N42" t="s">
        <v>53</v>
      </c>
      <c r="O42" t="s">
        <v>53</v>
      </c>
      <c r="P42" t="s">
        <v>53</v>
      </c>
      <c r="Q42" t="str">
        <f>_xlfn.XLOOKUP(tblEncounters[[#This Row],[Hospital_ID]],Table1[Hospital_ID],Table1[Hospital_Name],"Not Found")</f>
        <v>Nova Medical Centre</v>
      </c>
      <c r="R42" t="str">
        <f>_xlfn.XLOOKUP(tblEncounters[[#This Row],[Hospital_ID]],Table1[Hospital_ID],Table1[Country],"Not Found")</f>
        <v>Germany</v>
      </c>
      <c r="S42" t="str">
        <f>_xlfn.XLOOKUP(tblEncounters[[#This Row],[Hospital_ID]],Table1[Hospital_ID],Table1[FHIR_Enabled],"Not Found")</f>
        <v>Yes</v>
      </c>
    </row>
    <row r="43" spans="1:19">
      <c r="A43" t="s">
        <v>124</v>
      </c>
      <c r="B43" t="s">
        <v>174</v>
      </c>
      <c r="C43" t="s">
        <v>12</v>
      </c>
      <c r="D43">
        <v>24</v>
      </c>
      <c r="E43" t="str">
        <f>IF(tblEncounters[[#This Row],[Age]]&lt;30,"18-29",IF(tblEncounters[[#This Row],[Age]]&lt;45,"30-44",IF(tblEncounters[[#This Row],[Age]]&lt;60,"45-59",IF(tblEncounters[[#This Row],[Age]]&lt;75,"60-74","75+"))))</f>
        <v>18-29</v>
      </c>
      <c r="F43" t="s">
        <v>184</v>
      </c>
      <c r="G43" t="s">
        <v>190</v>
      </c>
      <c r="H43" t="s">
        <v>192</v>
      </c>
      <c r="I43" s="10">
        <v>46100</v>
      </c>
      <c r="J43" s="10">
        <f ca="1">tblEncounters[[#This Row],[Admission_Date]]+RANDBETWEEN(1,12)</f>
        <v>46103</v>
      </c>
      <c r="K43">
        <f ca="1">tblEncounters[[#This Row],[Discharge_Date]]-tblEncounters[[#This Row],[Admission_Date]]</f>
        <v>3</v>
      </c>
      <c r="L43" s="10" t="s">
        <v>54</v>
      </c>
      <c r="M43" s="9" t="s">
        <v>194</v>
      </c>
      <c r="N43" t="s">
        <v>53</v>
      </c>
      <c r="O43" t="s">
        <v>54</v>
      </c>
      <c r="P43" t="s">
        <v>53</v>
      </c>
      <c r="Q43" t="str">
        <f>_xlfn.XLOOKUP(tblEncounters[[#This Row],[Hospital_ID]],Table1[Hospital_ID],Table1[Hospital_Name],"Not Found")</f>
        <v>Aurora Medical Centre</v>
      </c>
      <c r="R43" t="str">
        <f>_xlfn.XLOOKUP(tblEncounters[[#This Row],[Hospital_ID]],Table1[Hospital_ID],Table1[Country],"Not Found")</f>
        <v>Netherland</v>
      </c>
      <c r="S43" t="str">
        <f>_xlfn.XLOOKUP(tblEncounters[[#This Row],[Hospital_ID]],Table1[Hospital_ID],Table1[FHIR_Enabled],"Not Found")</f>
        <v>Yes</v>
      </c>
    </row>
    <row r="44" spans="1:19">
      <c r="A44" t="s">
        <v>125</v>
      </c>
      <c r="B44" t="s">
        <v>175</v>
      </c>
      <c r="C44" t="s">
        <v>13</v>
      </c>
      <c r="D44">
        <v>80</v>
      </c>
      <c r="E44" t="str">
        <f>IF(tblEncounters[[#This Row],[Age]]&lt;30,"18-29",IF(tblEncounters[[#This Row],[Age]]&lt;45,"30-44",IF(tblEncounters[[#This Row],[Age]]&lt;60,"45-59",IF(tblEncounters[[#This Row],[Age]]&lt;75,"60-74","75+"))))</f>
        <v>75+</v>
      </c>
      <c r="F44" t="s">
        <v>183</v>
      </c>
      <c r="G44" t="s">
        <v>185</v>
      </c>
      <c r="H44" t="s">
        <v>191</v>
      </c>
      <c r="I44" s="10">
        <v>46094</v>
      </c>
      <c r="J44" s="10">
        <f ca="1">tblEncounters[[#This Row],[Admission_Date]]+RANDBETWEEN(1,12)</f>
        <v>46098</v>
      </c>
      <c r="K44">
        <f ca="1">tblEncounters[[#This Row],[Discharge_Date]]-tblEncounters[[#This Row],[Admission_Date]]</f>
        <v>4</v>
      </c>
      <c r="L44" s="10" t="s">
        <v>54</v>
      </c>
      <c r="M44" t="s">
        <v>195</v>
      </c>
      <c r="N44" t="s">
        <v>53</v>
      </c>
      <c r="O44" t="s">
        <v>54</v>
      </c>
      <c r="P44" t="s">
        <v>53</v>
      </c>
      <c r="Q44" t="str">
        <f>_xlfn.XLOOKUP(tblEncounters[[#This Row],[Hospital_ID]],Table1[Hospital_ID],Table1[Hospital_Name],"Not Found")</f>
        <v>Helis General Hospital</v>
      </c>
      <c r="R44" t="str">
        <f>_xlfn.XLOOKUP(tblEncounters[[#This Row],[Hospital_ID]],Table1[Hospital_ID],Table1[Country],"Not Found")</f>
        <v>Austria</v>
      </c>
      <c r="S44" t="str">
        <f>_xlfn.XLOOKUP(tblEncounters[[#This Row],[Hospital_ID]],Table1[Hospital_ID],Table1[FHIR_Enabled],"Not Found")</f>
        <v>Partial</v>
      </c>
    </row>
    <row r="45" spans="1:19">
      <c r="A45" t="s">
        <v>126</v>
      </c>
      <c r="B45" t="s">
        <v>176</v>
      </c>
      <c r="C45" t="s">
        <v>14</v>
      </c>
      <c r="D45">
        <v>73</v>
      </c>
      <c r="E45" t="str">
        <f>IF(tblEncounters[[#This Row],[Age]]&lt;30,"18-29",IF(tblEncounters[[#This Row],[Age]]&lt;45,"30-44",IF(tblEncounters[[#This Row],[Age]]&lt;60,"45-59",IF(tblEncounters[[#This Row],[Age]]&lt;75,"60-74","75+"))))</f>
        <v>60-74</v>
      </c>
      <c r="F45" t="s">
        <v>184</v>
      </c>
      <c r="G45" t="s">
        <v>186</v>
      </c>
      <c r="H45" t="s">
        <v>191</v>
      </c>
      <c r="I45" s="10">
        <v>46088</v>
      </c>
      <c r="J45" s="10">
        <f ca="1">tblEncounters[[#This Row],[Admission_Date]]+RANDBETWEEN(1,12)</f>
        <v>46094</v>
      </c>
      <c r="K45">
        <f ca="1">tblEncounters[[#This Row],[Discharge_Date]]-tblEncounters[[#This Row],[Admission_Date]]</f>
        <v>6</v>
      </c>
      <c r="L45" s="10" t="s">
        <v>54</v>
      </c>
      <c r="M45" s="9" t="s">
        <v>196</v>
      </c>
      <c r="N45" t="s">
        <v>54</v>
      </c>
      <c r="O45" t="s">
        <v>54</v>
      </c>
      <c r="P45" t="s">
        <v>53</v>
      </c>
      <c r="Q45" t="str">
        <f>_xlfn.XLOOKUP(tblEncounters[[#This Row],[Hospital_ID]],Table1[Hospital_ID],Table1[Hospital_Name],"Not Found")</f>
        <v>St. Clara Medical Centre</v>
      </c>
      <c r="R45" t="str">
        <f>_xlfn.XLOOKUP(tblEncounters[[#This Row],[Hospital_ID]],Table1[Hospital_ID],Table1[Country],"Not Found")</f>
        <v>France</v>
      </c>
      <c r="S45" t="str">
        <f>_xlfn.XLOOKUP(tblEncounters[[#This Row],[Hospital_ID]],Table1[Hospital_ID],Table1[FHIR_Enabled],"Not Found")</f>
        <v>Yes</v>
      </c>
    </row>
    <row r="46" spans="1:19">
      <c r="A46" t="s">
        <v>127</v>
      </c>
      <c r="B46" t="s">
        <v>177</v>
      </c>
      <c r="C46" t="s">
        <v>15</v>
      </c>
      <c r="D46">
        <v>68</v>
      </c>
      <c r="E46" t="str">
        <f>IF(tblEncounters[[#This Row],[Age]]&lt;30,"18-29",IF(tblEncounters[[#This Row],[Age]]&lt;45,"30-44",IF(tblEncounters[[#This Row],[Age]]&lt;60,"45-59",IF(tblEncounters[[#This Row],[Age]]&lt;75,"60-74","75+"))))</f>
        <v>60-74</v>
      </c>
      <c r="F46" t="s">
        <v>183</v>
      </c>
      <c r="G46" t="s">
        <v>187</v>
      </c>
      <c r="H46" t="s">
        <v>191</v>
      </c>
      <c r="I46" s="10">
        <v>46030</v>
      </c>
      <c r="J46" s="10">
        <f ca="1">tblEncounters[[#This Row],[Admission_Date]]+RANDBETWEEN(1,12)</f>
        <v>46032</v>
      </c>
      <c r="K46">
        <f ca="1">tblEncounters[[#This Row],[Discharge_Date]]-tblEncounters[[#This Row],[Admission_Date]]</f>
        <v>2</v>
      </c>
      <c r="L46" s="10" t="s">
        <v>53</v>
      </c>
      <c r="M46" s="9" t="s">
        <v>197</v>
      </c>
      <c r="N46" t="s">
        <v>53</v>
      </c>
      <c r="O46" t="s">
        <v>53</v>
      </c>
      <c r="P46" t="s">
        <v>53</v>
      </c>
      <c r="Q46" t="str">
        <f>_xlfn.XLOOKUP(tblEncounters[[#This Row],[Hospital_ID]],Table1[Hospital_ID],Table1[Hospital_Name],"Not Found")</f>
        <v>Europa Health Institute</v>
      </c>
      <c r="R46" t="str">
        <f>_xlfn.XLOOKUP(tblEncounters[[#This Row],[Hospital_ID]],Table1[Hospital_ID],Table1[Country],"Not Found")</f>
        <v xml:space="preserve">Belgium </v>
      </c>
      <c r="S46" t="str">
        <f>_xlfn.XLOOKUP(tblEncounters[[#This Row],[Hospital_ID]],Table1[Hospital_ID],Table1[FHIR_Enabled],"Not Found")</f>
        <v>Yes</v>
      </c>
    </row>
    <row r="47" spans="1:19">
      <c r="A47" t="s">
        <v>128</v>
      </c>
      <c r="B47" t="s">
        <v>178</v>
      </c>
      <c r="C47" t="s">
        <v>16</v>
      </c>
      <c r="D47">
        <v>34</v>
      </c>
      <c r="E47" t="str">
        <f>IF(tblEncounters[[#This Row],[Age]]&lt;30,"18-29",IF(tblEncounters[[#This Row],[Age]]&lt;45,"30-44",IF(tblEncounters[[#This Row],[Age]]&lt;60,"45-59",IF(tblEncounters[[#This Row],[Age]]&lt;75,"60-74","75+"))))</f>
        <v>30-44</v>
      </c>
      <c r="F47" t="s">
        <v>184</v>
      </c>
      <c r="G47" t="s">
        <v>188</v>
      </c>
      <c r="H47" t="s">
        <v>192</v>
      </c>
      <c r="I47" s="10">
        <v>46067</v>
      </c>
      <c r="J47" s="10">
        <f ca="1">tblEncounters[[#This Row],[Admission_Date]]+RANDBETWEEN(1,12)</f>
        <v>46075</v>
      </c>
      <c r="K47">
        <f ca="1">tblEncounters[[#This Row],[Discharge_Date]]-tblEncounters[[#This Row],[Admission_Date]]</f>
        <v>8</v>
      </c>
      <c r="L47" s="10" t="s">
        <v>54</v>
      </c>
      <c r="M47" s="9" t="s">
        <v>193</v>
      </c>
      <c r="N47" t="s">
        <v>53</v>
      </c>
      <c r="O47" t="s">
        <v>54</v>
      </c>
      <c r="P47" t="s">
        <v>53</v>
      </c>
      <c r="Q47" t="str">
        <f>_xlfn.XLOOKUP(tblEncounters[[#This Row],[Hospital_ID]],Table1[Hospital_ID],Table1[Hospital_Name],"Not Found")</f>
        <v>Marbel General Hospital</v>
      </c>
      <c r="R47" t="str">
        <f>_xlfn.XLOOKUP(tblEncounters[[#This Row],[Hospital_ID]],Table1[Hospital_ID],Table1[Country],"Not Found")</f>
        <v>Sweden</v>
      </c>
      <c r="S47" t="str">
        <f>_xlfn.XLOOKUP(tblEncounters[[#This Row],[Hospital_ID]],Table1[Hospital_ID],Table1[FHIR_Enabled],"Not Found")</f>
        <v>Yes</v>
      </c>
    </row>
    <row r="48" spans="1:19">
      <c r="A48" t="s">
        <v>129</v>
      </c>
      <c r="B48" t="s">
        <v>179</v>
      </c>
      <c r="C48" t="s">
        <v>17</v>
      </c>
      <c r="D48">
        <v>46</v>
      </c>
      <c r="E48" t="str">
        <f>IF(tblEncounters[[#This Row],[Age]]&lt;30,"18-29",IF(tblEncounters[[#This Row],[Age]]&lt;45,"30-44",IF(tblEncounters[[#This Row],[Age]]&lt;60,"45-59",IF(tblEncounters[[#This Row],[Age]]&lt;75,"60-74","75+"))))</f>
        <v>45-59</v>
      </c>
      <c r="F48" t="s">
        <v>183</v>
      </c>
      <c r="G48" t="s">
        <v>189</v>
      </c>
      <c r="H48" t="s">
        <v>191</v>
      </c>
      <c r="I48" s="10">
        <v>46081</v>
      </c>
      <c r="J48" s="10">
        <f ca="1">tblEncounters[[#This Row],[Admission_Date]]+RANDBETWEEN(1,12)</f>
        <v>46083</v>
      </c>
      <c r="K48">
        <f ca="1">tblEncounters[[#This Row],[Discharge_Date]]-tblEncounters[[#This Row],[Admission_Date]]</f>
        <v>2</v>
      </c>
      <c r="L48" s="10" t="s">
        <v>54</v>
      </c>
      <c r="M48" s="9" t="s">
        <v>194</v>
      </c>
      <c r="N48" t="s">
        <v>53</v>
      </c>
      <c r="O48" t="s">
        <v>53</v>
      </c>
      <c r="P48" t="s">
        <v>53</v>
      </c>
      <c r="Q48" t="str">
        <f>_xlfn.XLOOKUP(tblEncounters[[#This Row],[Hospital_ID]],Table1[Hospital_ID],Table1[Hospital_Name],"Not Found")</f>
        <v>Helix Medical Centre</v>
      </c>
      <c r="R48" t="str">
        <f>_xlfn.XLOOKUP(tblEncounters[[#This Row],[Hospital_ID]],Table1[Hospital_ID],Table1[Country],"Not Found")</f>
        <v>Denmark</v>
      </c>
      <c r="S48" t="str">
        <f>_xlfn.XLOOKUP(tblEncounters[[#This Row],[Hospital_ID]],Table1[Hospital_ID],Table1[FHIR_Enabled],"Not Found")</f>
        <v>Partial</v>
      </c>
    </row>
    <row r="49" spans="1:19">
      <c r="A49" t="s">
        <v>130</v>
      </c>
      <c r="B49" t="s">
        <v>180</v>
      </c>
      <c r="C49" t="s">
        <v>18</v>
      </c>
      <c r="D49">
        <v>75</v>
      </c>
      <c r="E49" t="str">
        <f>IF(tblEncounters[[#This Row],[Age]]&lt;30,"18-29",IF(tblEncounters[[#This Row],[Age]]&lt;45,"30-44",IF(tblEncounters[[#This Row],[Age]]&lt;60,"45-59",IF(tblEncounters[[#This Row],[Age]]&lt;75,"60-74","75+"))))</f>
        <v>75+</v>
      </c>
      <c r="F49" t="s">
        <v>184</v>
      </c>
      <c r="G49" t="s">
        <v>190</v>
      </c>
      <c r="H49" t="s">
        <v>191</v>
      </c>
      <c r="I49" s="10">
        <v>46088</v>
      </c>
      <c r="J49" s="10">
        <f ca="1">tblEncounters[[#This Row],[Admission_Date]]+RANDBETWEEN(1,12)</f>
        <v>46090</v>
      </c>
      <c r="K49">
        <f ca="1">tblEncounters[[#This Row],[Discharge_Date]]-tblEncounters[[#This Row],[Admission_Date]]</f>
        <v>2</v>
      </c>
      <c r="L49" s="10" t="s">
        <v>54</v>
      </c>
      <c r="M49" t="s">
        <v>195</v>
      </c>
      <c r="N49" t="s">
        <v>53</v>
      </c>
      <c r="O49" t="s">
        <v>54</v>
      </c>
      <c r="P49" t="s">
        <v>53</v>
      </c>
      <c r="Q49" t="str">
        <f>_xlfn.XLOOKUP(tblEncounters[[#This Row],[Hospital_ID]],Table1[Hospital_ID],Table1[Hospital_Name],"Not Found")</f>
        <v>St.Aldric University Hospital</v>
      </c>
      <c r="R49" t="str">
        <f>_xlfn.XLOOKUP(tblEncounters[[#This Row],[Hospital_ID]],Table1[Hospital_ID],Table1[Country],"Not Found")</f>
        <v>Finland</v>
      </c>
      <c r="S49" t="str">
        <f>_xlfn.XLOOKUP(tblEncounters[[#This Row],[Hospital_ID]],Table1[Hospital_ID],Table1[FHIR_Enabled],"Not Found")</f>
        <v>Yes</v>
      </c>
    </row>
    <row r="50" spans="1:19">
      <c r="A50" t="s">
        <v>131</v>
      </c>
      <c r="B50" t="s">
        <v>181</v>
      </c>
      <c r="C50" t="s">
        <v>19</v>
      </c>
      <c r="D50">
        <v>63</v>
      </c>
      <c r="E50" t="str">
        <f>IF(tblEncounters[[#This Row],[Age]]&lt;30,"18-29",IF(tblEncounters[[#This Row],[Age]]&lt;45,"30-44",IF(tblEncounters[[#This Row],[Age]]&lt;60,"45-59",IF(tblEncounters[[#This Row],[Age]]&lt;75,"60-74","75+"))))</f>
        <v>60-74</v>
      </c>
      <c r="F50" t="s">
        <v>183</v>
      </c>
      <c r="G50" t="s">
        <v>185</v>
      </c>
      <c r="H50" t="s">
        <v>191</v>
      </c>
      <c r="I50" s="10">
        <v>46052</v>
      </c>
      <c r="J50" s="10">
        <f ca="1">tblEncounters[[#This Row],[Admission_Date]]+RANDBETWEEN(1,12)</f>
        <v>46064</v>
      </c>
      <c r="K50">
        <f ca="1">tblEncounters[[#This Row],[Discharge_Date]]-tblEncounters[[#This Row],[Admission_Date]]</f>
        <v>12</v>
      </c>
      <c r="L50" s="10" t="s">
        <v>54</v>
      </c>
      <c r="M50" s="9" t="s">
        <v>196</v>
      </c>
      <c r="N50" t="s">
        <v>53</v>
      </c>
      <c r="O50" t="s">
        <v>53</v>
      </c>
      <c r="P50" t="s">
        <v>53</v>
      </c>
      <c r="Q50" t="str">
        <f>_xlfn.XLOOKUP(tblEncounters[[#This Row],[Hospital_ID]],Table1[Hospital_ID],Table1[Hospital_Name],"Not Found")</f>
        <v>Clinica Santa Marisol</v>
      </c>
      <c r="R50" t="str">
        <f>_xlfn.XLOOKUP(tblEncounters[[#This Row],[Hospital_ID]],Table1[Hospital_ID],Table1[Country],"Not Found")</f>
        <v>Spain</v>
      </c>
      <c r="S50" t="str">
        <f>_xlfn.XLOOKUP(tblEncounters[[#This Row],[Hospital_ID]],Table1[Hospital_ID],Table1[FHIR_Enabled],"Not Found")</f>
        <v>Partial</v>
      </c>
    </row>
    <row r="51" spans="1:19">
      <c r="A51" t="s">
        <v>132</v>
      </c>
      <c r="B51" t="s">
        <v>182</v>
      </c>
      <c r="C51" t="s">
        <v>20</v>
      </c>
      <c r="D51">
        <v>39</v>
      </c>
      <c r="E51" t="str">
        <f>IF(tblEncounters[[#This Row],[Age]]&lt;30,"18-29",IF(tblEncounters[[#This Row],[Age]]&lt;45,"30-44",IF(tblEncounters[[#This Row],[Age]]&lt;60,"45-59",IF(tblEncounters[[#This Row],[Age]]&lt;75,"60-74","75+"))))</f>
        <v>30-44</v>
      </c>
      <c r="F51" t="s">
        <v>184</v>
      </c>
      <c r="G51" t="s">
        <v>186</v>
      </c>
      <c r="H51" t="s">
        <v>191</v>
      </c>
      <c r="I51" s="10">
        <v>46035</v>
      </c>
      <c r="J51" s="10">
        <f ca="1">tblEncounters[[#This Row],[Admission_Date]]+RANDBETWEEN(1,12)</f>
        <v>46043</v>
      </c>
      <c r="K51">
        <f ca="1">tblEncounters[[#This Row],[Discharge_Date]]-tblEncounters[[#This Row],[Admission_Date]]</f>
        <v>8</v>
      </c>
      <c r="L51" s="10" t="s">
        <v>54</v>
      </c>
      <c r="M51" s="9" t="s">
        <v>197</v>
      </c>
      <c r="N51" t="s">
        <v>53</v>
      </c>
      <c r="O51" t="s">
        <v>54</v>
      </c>
      <c r="P51" t="s">
        <v>53</v>
      </c>
      <c r="Q51" t="str">
        <f>_xlfn.XLOOKUP(tblEncounters[[#This Row],[Hospital_ID]],Table1[Hospital_ID],Table1[Hospital_Name],"Not Found")</f>
        <v>Nordhavan Regional Medical Centre</v>
      </c>
      <c r="R51" t="str">
        <f>_xlfn.XLOOKUP(tblEncounters[[#This Row],[Hospital_ID]],Table1[Hospital_ID],Table1[Country],"Not Found")</f>
        <v>Italy</v>
      </c>
      <c r="S51" t="str">
        <f>_xlfn.XLOOKUP(tblEncounters[[#This Row],[Hospital_ID]],Table1[Hospital_ID],Table1[FHIR_Enabled],"Not Found")</f>
        <v>No</v>
      </c>
    </row>
  </sheetData>
  <phoneticPr fontId="5" type="noConversion"/>
  <dataValidations count="3">
    <dataValidation type="list" allowBlank="1" showInputMessage="1" showErrorMessage="1" sqref="F2:F51" xr:uid="{19D94D9C-F29D-4FE2-A2C9-264DA8C4388E}">
      <formula1>$H$4:$H$5</formula1>
    </dataValidation>
    <dataValidation type="list" allowBlank="1" showInputMessage="1" showErrorMessage="1" sqref="G2:G51" xr:uid="{79210C66-EC22-4D85-8910-6965E5A8B32B}">
      <formula1>"General Medicine,Cardiology,Neurology,Orthopaedics,Psychiatry,General Surgery"</formula1>
    </dataValidation>
    <dataValidation type="list" allowBlank="1" showInputMessage="1" showErrorMessage="1" sqref="H2:H51" xr:uid="{53F073CA-24F7-4B6C-9A55-8C81E4551494}">
      <formula1>"Emergency,Planned"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15DFD-2FE3-42CE-9F20-E90D9E208E17}">
  <sheetPr>
    <tabColor rgb="FF660033"/>
  </sheetPr>
  <dimension ref="A1:S51"/>
  <sheetViews>
    <sheetView workbookViewId="0">
      <selection activeCell="K59" sqref="K59"/>
    </sheetView>
  </sheetViews>
  <sheetFormatPr defaultRowHeight="14.4"/>
  <cols>
    <col min="1" max="1" width="14.77734375" customWidth="1"/>
    <col min="2" max="2" width="11.44140625" customWidth="1"/>
    <col min="3" max="3" width="12.5546875" customWidth="1"/>
    <col min="4" max="4" width="5.88671875" customWidth="1"/>
    <col min="5" max="5" width="11.77734375" customWidth="1"/>
    <col min="6" max="6" width="7" bestFit="1" customWidth="1"/>
    <col min="7" max="7" width="15.21875" bestFit="1" customWidth="1"/>
    <col min="8" max="9" width="16.33203125" customWidth="1"/>
    <col min="10" max="10" width="15.77734375" customWidth="1"/>
    <col min="11" max="11" width="11" customWidth="1"/>
    <col min="12" max="12" width="17.6640625" customWidth="1"/>
    <col min="13" max="13" width="21.44140625" customWidth="1"/>
    <col min="14" max="14" width="24.6640625" customWidth="1"/>
    <col min="15" max="15" width="15.21875" customWidth="1"/>
    <col min="16" max="16" width="17.77734375" customWidth="1"/>
    <col min="17" max="17" width="30" bestFit="1" customWidth="1"/>
    <col min="18" max="18" width="10.33203125" bestFit="1" customWidth="1"/>
    <col min="19" max="19" width="14.109375" bestFit="1" customWidth="1"/>
  </cols>
  <sheetData>
    <row r="1" spans="1:19">
      <c r="A1" s="12" t="s">
        <v>68</v>
      </c>
      <c r="B1" s="13" t="s">
        <v>69</v>
      </c>
      <c r="C1" s="13" t="s">
        <v>0</v>
      </c>
      <c r="D1" s="13" t="s">
        <v>70</v>
      </c>
      <c r="E1" s="13" t="s">
        <v>71</v>
      </c>
      <c r="F1" s="13" t="s">
        <v>72</v>
      </c>
      <c r="G1" s="13" t="s">
        <v>73</v>
      </c>
      <c r="H1" s="13" t="s">
        <v>74</v>
      </c>
      <c r="I1" s="13" t="s">
        <v>75</v>
      </c>
      <c r="J1" s="13" t="s">
        <v>76</v>
      </c>
      <c r="K1" s="13" t="s">
        <v>77</v>
      </c>
      <c r="L1" s="13" t="s">
        <v>78</v>
      </c>
      <c r="M1" s="13" t="s">
        <v>79</v>
      </c>
      <c r="N1" s="13" t="s">
        <v>80</v>
      </c>
      <c r="O1" s="13" t="s">
        <v>81</v>
      </c>
      <c r="P1" s="13" t="s">
        <v>82</v>
      </c>
      <c r="Q1" s="12" t="s">
        <v>1</v>
      </c>
      <c r="R1" s="12" t="s">
        <v>2</v>
      </c>
      <c r="S1" s="12" t="s">
        <v>198</v>
      </c>
    </row>
    <row r="2" spans="1:19">
      <c r="A2" t="s">
        <v>83</v>
      </c>
      <c r="B2" t="s">
        <v>133</v>
      </c>
      <c r="C2" t="s">
        <v>11</v>
      </c>
      <c r="D2">
        <v>34</v>
      </c>
      <c r="E2" t="str">
        <f>IF(tblEncounters6[[#This Row],[Age]]&lt;30,"18-29",IF(tblEncounters6[[#This Row],[Age]]&lt;45,"30-44",IF(tblEncounters6[[#This Row],[Age]]&lt;60,"45-59",IF(tblEncounters6[[#This Row],[Age]]&lt;75,"60-74","75+"))))</f>
        <v>30-44</v>
      </c>
      <c r="F2" t="s">
        <v>184</v>
      </c>
      <c r="G2" t="s">
        <v>185</v>
      </c>
      <c r="H2" t="s">
        <v>191</v>
      </c>
      <c r="I2" s="10">
        <v>46074</v>
      </c>
      <c r="J2" s="10">
        <f ca="1">tblEncounters6[[#This Row],[Admission_Date]]+RANDBETWEEN(1,12)</f>
        <v>46081</v>
      </c>
      <c r="K2">
        <f ca="1">tblEncounters6[[#This Row],[Discharge_Date]]-tblEncounters6[[#This Row],[Admission_Date]]</f>
        <v>7</v>
      </c>
      <c r="L2" s="10" t="s">
        <v>53</v>
      </c>
      <c r="M2" s="9" t="s">
        <v>193</v>
      </c>
      <c r="N2" t="s">
        <v>53</v>
      </c>
      <c r="O2" t="s">
        <v>53</v>
      </c>
      <c r="P2" t="s">
        <v>53</v>
      </c>
      <c r="Q2" t="str">
        <f>_xlfn.XLOOKUP(tblEncounters6[[#This Row],[Hospital_ID]],Table1[Hospital_ID],Table1[Hospital_Name],"Not Found")</f>
        <v>Nova Medical Centre</v>
      </c>
      <c r="R2" t="str">
        <f>_xlfn.XLOOKUP(tblEncounters6[[#This Row],[Hospital_ID]],Table1[Hospital_ID],Table1[Country],"Not Found")</f>
        <v>Germany</v>
      </c>
      <c r="S2" t="str">
        <f>_xlfn.XLOOKUP(tblEncounters6[[#This Row],[Hospital_ID]],Table1[Hospital_ID],Table1[FHIR_Enabled],"Not Found")</f>
        <v>Yes</v>
      </c>
    </row>
    <row r="3" spans="1:19">
      <c r="A3" t="s">
        <v>84</v>
      </c>
      <c r="B3" t="s">
        <v>134</v>
      </c>
      <c r="C3" t="s">
        <v>12</v>
      </c>
      <c r="D3">
        <v>72</v>
      </c>
      <c r="E3" t="str">
        <f>IF(tblEncounters6[[#This Row],[Age]]&lt;30,"18-29",IF(tblEncounters6[[#This Row],[Age]]&lt;45,"30-44",IF(tblEncounters6[[#This Row],[Age]]&lt;60,"45-59",IF(tblEncounters6[[#This Row],[Age]]&lt;75,"60-74","75+"))))</f>
        <v>60-74</v>
      </c>
      <c r="F3" t="s">
        <v>183</v>
      </c>
      <c r="G3" t="s">
        <v>186</v>
      </c>
      <c r="H3" t="s">
        <v>192</v>
      </c>
      <c r="I3" s="10">
        <v>46109</v>
      </c>
      <c r="J3" s="10">
        <f ca="1">tblEncounters6[[#This Row],[Admission_Date]]+RANDBETWEEN(1,12)</f>
        <v>46117</v>
      </c>
      <c r="K3">
        <f ca="1">tblEncounters6[[#This Row],[Discharge_Date]]-tblEncounters6[[#This Row],[Admission_Date]]</f>
        <v>8</v>
      </c>
      <c r="L3" s="10" t="s">
        <v>54</v>
      </c>
      <c r="M3" s="9" t="s">
        <v>194</v>
      </c>
      <c r="N3" t="s">
        <v>53</v>
      </c>
      <c r="O3" t="s">
        <v>54</v>
      </c>
      <c r="P3" t="s">
        <v>54</v>
      </c>
      <c r="Q3" t="str">
        <f>_xlfn.XLOOKUP(tblEncounters6[[#This Row],[Hospital_ID]],Table1[Hospital_ID],Table1[Hospital_Name],"Not Found")</f>
        <v>Aurora Medical Centre</v>
      </c>
      <c r="R3" t="str">
        <f>_xlfn.XLOOKUP(tblEncounters6[[#This Row],[Hospital_ID]],Table1[Hospital_ID],Table1[Country],"Not Found")</f>
        <v>Netherland</v>
      </c>
      <c r="S3" t="str">
        <f>_xlfn.XLOOKUP(tblEncounters6[[#This Row],[Hospital_ID]],Table1[Hospital_ID],Table1[FHIR_Enabled],"Not Found")</f>
        <v>Yes</v>
      </c>
    </row>
    <row r="4" spans="1:19">
      <c r="A4" t="s">
        <v>85</v>
      </c>
      <c r="B4" t="s">
        <v>135</v>
      </c>
      <c r="C4" t="s">
        <v>13</v>
      </c>
      <c r="D4">
        <v>89</v>
      </c>
      <c r="E4" t="str">
        <f>IF(tblEncounters6[[#This Row],[Age]]&lt;30,"18-29",IF(tblEncounters6[[#This Row],[Age]]&lt;45,"30-44",IF(tblEncounters6[[#This Row],[Age]]&lt;60,"45-59",IF(tblEncounters6[[#This Row],[Age]]&lt;75,"60-74","75+"))))</f>
        <v>75+</v>
      </c>
      <c r="F4" t="s">
        <v>183</v>
      </c>
      <c r="G4" t="s">
        <v>187</v>
      </c>
      <c r="H4" t="s">
        <v>191</v>
      </c>
      <c r="I4" s="10">
        <v>46035</v>
      </c>
      <c r="J4" s="10">
        <f ca="1">tblEncounters6[[#This Row],[Admission_Date]]+RANDBETWEEN(1,12)</f>
        <v>46040</v>
      </c>
      <c r="K4">
        <f ca="1">tblEncounters6[[#This Row],[Discharge_Date]]-tblEncounters6[[#This Row],[Admission_Date]]</f>
        <v>5</v>
      </c>
      <c r="L4" s="10" t="s">
        <v>53</v>
      </c>
      <c r="M4" t="s">
        <v>195</v>
      </c>
      <c r="N4" t="s">
        <v>53</v>
      </c>
      <c r="O4" t="s">
        <v>54</v>
      </c>
      <c r="P4" t="s">
        <v>54</v>
      </c>
      <c r="Q4" t="str">
        <f>_xlfn.XLOOKUP(tblEncounters6[[#This Row],[Hospital_ID]],Table1[Hospital_ID],Table1[Hospital_Name],"Not Found")</f>
        <v>Helis General Hospital</v>
      </c>
      <c r="R4" t="str">
        <f>_xlfn.XLOOKUP(tblEncounters6[[#This Row],[Hospital_ID]],Table1[Hospital_ID],Table1[Country],"Not Found")</f>
        <v>Austria</v>
      </c>
      <c r="S4" t="str">
        <f>_xlfn.XLOOKUP(tblEncounters6[[#This Row],[Hospital_ID]],Table1[Hospital_ID],Table1[FHIR_Enabled],"Not Found")</f>
        <v>Partial</v>
      </c>
    </row>
    <row r="5" spans="1:19">
      <c r="A5" t="s">
        <v>86</v>
      </c>
      <c r="B5" t="s">
        <v>136</v>
      </c>
      <c r="C5" t="s">
        <v>14</v>
      </c>
      <c r="D5">
        <v>49</v>
      </c>
      <c r="E5" t="str">
        <f>IF(tblEncounters6[[#This Row],[Age]]&lt;30,"18-29",IF(tblEncounters6[[#This Row],[Age]]&lt;45,"30-44",IF(tblEncounters6[[#This Row],[Age]]&lt;60,"45-59",IF(tblEncounters6[[#This Row],[Age]]&lt;75,"60-74","75+"))))</f>
        <v>45-59</v>
      </c>
      <c r="F5" t="s">
        <v>184</v>
      </c>
      <c r="G5" t="s">
        <v>188</v>
      </c>
      <c r="H5" t="s">
        <v>192</v>
      </c>
      <c r="I5" s="10">
        <v>46078</v>
      </c>
      <c r="J5" s="10">
        <f ca="1">tblEncounters6[[#This Row],[Admission_Date]]+RANDBETWEEN(1,12)</f>
        <v>46082</v>
      </c>
      <c r="K5">
        <f ca="1">tblEncounters6[[#This Row],[Discharge_Date]]-tblEncounters6[[#This Row],[Admission_Date]]</f>
        <v>4</v>
      </c>
      <c r="L5" s="10" t="s">
        <v>54</v>
      </c>
      <c r="M5" s="9" t="s">
        <v>196</v>
      </c>
      <c r="N5" t="s">
        <v>53</v>
      </c>
      <c r="O5" t="s">
        <v>54</v>
      </c>
      <c r="P5" t="s">
        <v>54</v>
      </c>
      <c r="Q5" t="str">
        <f>_xlfn.XLOOKUP(tblEncounters6[[#This Row],[Hospital_ID]],Table1[Hospital_ID],Table1[Hospital_Name],"Not Found")</f>
        <v>St. Clara Medical Centre</v>
      </c>
      <c r="R5" t="str">
        <f>_xlfn.XLOOKUP(tblEncounters6[[#This Row],[Hospital_ID]],Table1[Hospital_ID],Table1[Country],"Not Found")</f>
        <v>France</v>
      </c>
      <c r="S5" t="str">
        <f>_xlfn.XLOOKUP(tblEncounters6[[#This Row],[Hospital_ID]],Table1[Hospital_ID],Table1[FHIR_Enabled],"Not Found")</f>
        <v>Yes</v>
      </c>
    </row>
    <row r="6" spans="1:19">
      <c r="A6" t="s">
        <v>87</v>
      </c>
      <c r="B6" t="s">
        <v>137</v>
      </c>
      <c r="C6" t="s">
        <v>15</v>
      </c>
      <c r="D6">
        <v>87</v>
      </c>
      <c r="E6" t="str">
        <f>IF(tblEncounters6[[#This Row],[Age]]&lt;30,"18-29",IF(tblEncounters6[[#This Row],[Age]]&lt;45,"30-44",IF(tblEncounters6[[#This Row],[Age]]&lt;60,"45-59",IF(tblEncounters6[[#This Row],[Age]]&lt;75,"60-74","75+"))))</f>
        <v>75+</v>
      </c>
      <c r="F6" t="s">
        <v>183</v>
      </c>
      <c r="G6" t="s">
        <v>189</v>
      </c>
      <c r="H6" t="s">
        <v>191</v>
      </c>
      <c r="I6" s="10">
        <v>46050</v>
      </c>
      <c r="J6" s="10">
        <f ca="1">tblEncounters6[[#This Row],[Admission_Date]]+RANDBETWEEN(1,12)</f>
        <v>46058</v>
      </c>
      <c r="K6">
        <f ca="1">tblEncounters6[[#This Row],[Discharge_Date]]-tblEncounters6[[#This Row],[Admission_Date]]</f>
        <v>8</v>
      </c>
      <c r="L6" s="10" t="s">
        <v>54</v>
      </c>
      <c r="M6" s="9" t="s">
        <v>197</v>
      </c>
      <c r="N6" t="s">
        <v>53</v>
      </c>
      <c r="O6" t="s">
        <v>54</v>
      </c>
      <c r="P6" t="s">
        <v>53</v>
      </c>
      <c r="Q6" t="str">
        <f>_xlfn.XLOOKUP(tblEncounters6[[#This Row],[Hospital_ID]],Table1[Hospital_ID],Table1[Hospital_Name],"Not Found")</f>
        <v>Europa Health Institute</v>
      </c>
      <c r="R6" t="str">
        <f>_xlfn.XLOOKUP(tblEncounters6[[#This Row],[Hospital_ID]],Table1[Hospital_ID],Table1[Country],"Not Found")</f>
        <v xml:space="preserve">Belgium </v>
      </c>
      <c r="S6" t="str">
        <f>_xlfn.XLOOKUP(tblEncounters6[[#This Row],[Hospital_ID]],Table1[Hospital_ID],Table1[FHIR_Enabled],"Not Found")</f>
        <v>Yes</v>
      </c>
    </row>
    <row r="7" spans="1:19">
      <c r="A7" t="s">
        <v>88</v>
      </c>
      <c r="B7" t="s">
        <v>138</v>
      </c>
      <c r="C7" t="s">
        <v>16</v>
      </c>
      <c r="D7">
        <v>37</v>
      </c>
      <c r="E7" t="str">
        <f>IF(tblEncounters6[[#This Row],[Age]]&lt;30,"18-29",IF(tblEncounters6[[#This Row],[Age]]&lt;45,"30-44",IF(tblEncounters6[[#This Row],[Age]]&lt;60,"45-59",IF(tblEncounters6[[#This Row],[Age]]&lt;75,"60-74","75+"))))</f>
        <v>30-44</v>
      </c>
      <c r="F7" t="s">
        <v>184</v>
      </c>
      <c r="G7" t="s">
        <v>190</v>
      </c>
      <c r="H7" t="s">
        <v>192</v>
      </c>
      <c r="I7" s="10">
        <v>46112</v>
      </c>
      <c r="J7" s="10">
        <f ca="1">tblEncounters6[[#This Row],[Admission_Date]]+RANDBETWEEN(1,12)</f>
        <v>46117</v>
      </c>
      <c r="K7">
        <f ca="1">tblEncounters6[[#This Row],[Discharge_Date]]-tblEncounters6[[#This Row],[Admission_Date]]</f>
        <v>5</v>
      </c>
      <c r="L7" s="10" t="s">
        <v>54</v>
      </c>
      <c r="M7" s="9" t="s">
        <v>193</v>
      </c>
      <c r="N7" t="s">
        <v>53</v>
      </c>
      <c r="O7" t="s">
        <v>54</v>
      </c>
      <c r="P7" t="s">
        <v>53</v>
      </c>
      <c r="Q7" t="str">
        <f>_xlfn.XLOOKUP(tblEncounters6[[#This Row],[Hospital_ID]],Table1[Hospital_ID],Table1[Hospital_Name],"Not Found")</f>
        <v>Marbel General Hospital</v>
      </c>
      <c r="R7" t="str">
        <f>_xlfn.XLOOKUP(tblEncounters6[[#This Row],[Hospital_ID]],Table1[Hospital_ID],Table1[Country],"Not Found")</f>
        <v>Sweden</v>
      </c>
      <c r="S7" t="str">
        <f>_xlfn.XLOOKUP(tblEncounters6[[#This Row],[Hospital_ID]],Table1[Hospital_ID],Table1[FHIR_Enabled],"Not Found")</f>
        <v>Yes</v>
      </c>
    </row>
    <row r="8" spans="1:19">
      <c r="A8" t="s">
        <v>89</v>
      </c>
      <c r="B8" t="s">
        <v>139</v>
      </c>
      <c r="C8" t="s">
        <v>17</v>
      </c>
      <c r="D8">
        <v>65</v>
      </c>
      <c r="E8" t="str">
        <f>IF(tblEncounters6[[#This Row],[Age]]&lt;30,"18-29",IF(tblEncounters6[[#This Row],[Age]]&lt;45,"30-44",IF(tblEncounters6[[#This Row],[Age]]&lt;60,"45-59",IF(tblEncounters6[[#This Row],[Age]]&lt;75,"60-74","75+"))))</f>
        <v>60-74</v>
      </c>
      <c r="F8" t="s">
        <v>184</v>
      </c>
      <c r="G8" t="s">
        <v>185</v>
      </c>
      <c r="H8" t="s">
        <v>191</v>
      </c>
      <c r="I8" s="10">
        <v>46035</v>
      </c>
      <c r="J8" s="10">
        <f ca="1">tblEncounters6[[#This Row],[Admission_Date]]+RANDBETWEEN(1,12)</f>
        <v>46041</v>
      </c>
      <c r="K8">
        <f ca="1">tblEncounters6[[#This Row],[Discharge_Date]]-tblEncounters6[[#This Row],[Admission_Date]]</f>
        <v>6</v>
      </c>
      <c r="L8" s="10" t="s">
        <v>54</v>
      </c>
      <c r="M8" s="9" t="s">
        <v>194</v>
      </c>
      <c r="N8" t="s">
        <v>53</v>
      </c>
      <c r="O8" t="s">
        <v>53</v>
      </c>
      <c r="P8" t="s">
        <v>54</v>
      </c>
      <c r="Q8" t="str">
        <f>_xlfn.XLOOKUP(tblEncounters6[[#This Row],[Hospital_ID]],Table1[Hospital_ID],Table1[Hospital_Name],"Not Found")</f>
        <v>Helix Medical Centre</v>
      </c>
      <c r="R8" t="str">
        <f>_xlfn.XLOOKUP(tblEncounters6[[#This Row],[Hospital_ID]],Table1[Hospital_ID],Table1[Country],"Not Found")</f>
        <v>Denmark</v>
      </c>
      <c r="S8" t="str">
        <f>_xlfn.XLOOKUP(tblEncounters6[[#This Row],[Hospital_ID]],Table1[Hospital_ID],Table1[FHIR_Enabled],"Not Found")</f>
        <v>Partial</v>
      </c>
    </row>
    <row r="9" spans="1:19">
      <c r="A9" t="s">
        <v>90</v>
      </c>
      <c r="B9" t="s">
        <v>140</v>
      </c>
      <c r="C9" t="s">
        <v>18</v>
      </c>
      <c r="D9">
        <v>44</v>
      </c>
      <c r="E9" t="str">
        <f>IF(tblEncounters6[[#This Row],[Age]]&lt;30,"18-29",IF(tblEncounters6[[#This Row],[Age]]&lt;45,"30-44",IF(tblEncounters6[[#This Row],[Age]]&lt;60,"45-59",IF(tblEncounters6[[#This Row],[Age]]&lt;75,"60-74","75+"))))</f>
        <v>30-44</v>
      </c>
      <c r="F9" t="s">
        <v>183</v>
      </c>
      <c r="G9" t="s">
        <v>186</v>
      </c>
      <c r="H9" t="s">
        <v>192</v>
      </c>
      <c r="I9" s="10">
        <v>46075</v>
      </c>
      <c r="J9" s="10">
        <f ca="1">tblEncounters6[[#This Row],[Admission_Date]]+RANDBETWEEN(1,12)</f>
        <v>46077</v>
      </c>
      <c r="K9">
        <f ca="1">tblEncounters6[[#This Row],[Discharge_Date]]-tblEncounters6[[#This Row],[Admission_Date]]</f>
        <v>2</v>
      </c>
      <c r="L9" s="10" t="s">
        <v>54</v>
      </c>
      <c r="M9" t="s">
        <v>195</v>
      </c>
      <c r="N9" t="s">
        <v>53</v>
      </c>
      <c r="O9" t="s">
        <v>54</v>
      </c>
      <c r="P9" t="s">
        <v>53</v>
      </c>
      <c r="Q9" t="str">
        <f>_xlfn.XLOOKUP(tblEncounters6[[#This Row],[Hospital_ID]],Table1[Hospital_ID],Table1[Hospital_Name],"Not Found")</f>
        <v>St.Aldric University Hospital</v>
      </c>
      <c r="R9" t="str">
        <f>_xlfn.XLOOKUP(tblEncounters6[[#This Row],[Hospital_ID]],Table1[Hospital_ID],Table1[Country],"Not Found")</f>
        <v>Finland</v>
      </c>
      <c r="S9" t="str">
        <f>_xlfn.XLOOKUP(tblEncounters6[[#This Row],[Hospital_ID]],Table1[Hospital_ID],Table1[FHIR_Enabled],"Not Found")</f>
        <v>Yes</v>
      </c>
    </row>
    <row r="10" spans="1:19">
      <c r="A10" t="s">
        <v>91</v>
      </c>
      <c r="B10" t="s">
        <v>141</v>
      </c>
      <c r="C10" t="s">
        <v>19</v>
      </c>
      <c r="D10">
        <v>37</v>
      </c>
      <c r="E10" t="str">
        <f>IF(tblEncounters6[[#This Row],[Age]]&lt;30,"18-29",IF(tblEncounters6[[#This Row],[Age]]&lt;45,"30-44",IF(tblEncounters6[[#This Row],[Age]]&lt;60,"45-59",IF(tblEncounters6[[#This Row],[Age]]&lt;75,"60-74","75+"))))</f>
        <v>30-44</v>
      </c>
      <c r="F10" t="s">
        <v>184</v>
      </c>
      <c r="G10" t="s">
        <v>187</v>
      </c>
      <c r="H10" t="s">
        <v>191</v>
      </c>
      <c r="I10" s="10">
        <v>46057</v>
      </c>
      <c r="J10" s="10">
        <f ca="1">tblEncounters6[[#This Row],[Admission_Date]]+RANDBETWEEN(1,12)</f>
        <v>46067</v>
      </c>
      <c r="K10">
        <f ca="1">tblEncounters6[[#This Row],[Discharge_Date]]-tblEncounters6[[#This Row],[Admission_Date]]</f>
        <v>10</v>
      </c>
      <c r="L10" s="10" t="s">
        <v>53</v>
      </c>
      <c r="M10" s="9" t="s">
        <v>196</v>
      </c>
      <c r="N10" t="s">
        <v>53</v>
      </c>
      <c r="O10" t="s">
        <v>54</v>
      </c>
      <c r="P10" t="s">
        <v>54</v>
      </c>
      <c r="Q10" t="str">
        <f>_xlfn.XLOOKUP(tblEncounters6[[#This Row],[Hospital_ID]],Table1[Hospital_ID],Table1[Hospital_Name],"Not Found")</f>
        <v>Clinica Santa Marisol</v>
      </c>
      <c r="R10" t="str">
        <f>_xlfn.XLOOKUP(tblEncounters6[[#This Row],[Hospital_ID]],Table1[Hospital_ID],Table1[Country],"Not Found")</f>
        <v>Spain</v>
      </c>
      <c r="S10" t="str">
        <f>_xlfn.XLOOKUP(tblEncounters6[[#This Row],[Hospital_ID]],Table1[Hospital_ID],Table1[FHIR_Enabled],"Not Found")</f>
        <v>Partial</v>
      </c>
    </row>
    <row r="11" spans="1:19">
      <c r="A11" t="s">
        <v>92</v>
      </c>
      <c r="B11" t="s">
        <v>142</v>
      </c>
      <c r="C11" t="s">
        <v>20</v>
      </c>
      <c r="D11">
        <v>39</v>
      </c>
      <c r="E11" t="str">
        <f>IF(tblEncounters6[[#This Row],[Age]]&lt;30,"18-29",IF(tblEncounters6[[#This Row],[Age]]&lt;45,"30-44",IF(tblEncounters6[[#This Row],[Age]]&lt;60,"45-59",IF(tblEncounters6[[#This Row],[Age]]&lt;75,"60-74","75+"))))</f>
        <v>30-44</v>
      </c>
      <c r="F11" t="s">
        <v>183</v>
      </c>
      <c r="G11" t="s">
        <v>188</v>
      </c>
      <c r="H11" t="s">
        <v>191</v>
      </c>
      <c r="I11" s="10">
        <v>46105</v>
      </c>
      <c r="J11" s="10">
        <f ca="1">tblEncounters6[[#This Row],[Admission_Date]]+RANDBETWEEN(1,12)</f>
        <v>46107</v>
      </c>
      <c r="K11">
        <f ca="1">tblEncounters6[[#This Row],[Discharge_Date]]-tblEncounters6[[#This Row],[Admission_Date]]</f>
        <v>2</v>
      </c>
      <c r="L11" s="10" t="s">
        <v>54</v>
      </c>
      <c r="M11" s="9" t="s">
        <v>197</v>
      </c>
      <c r="N11" t="s">
        <v>54</v>
      </c>
      <c r="O11" t="s">
        <v>54</v>
      </c>
      <c r="P11" t="s">
        <v>54</v>
      </c>
      <c r="Q11" t="str">
        <f>_xlfn.XLOOKUP(tblEncounters6[[#This Row],[Hospital_ID]],Table1[Hospital_ID],Table1[Hospital_Name],"Not Found")</f>
        <v>Nordhavan Regional Medical Centre</v>
      </c>
      <c r="R11" t="str">
        <f>_xlfn.XLOOKUP(tblEncounters6[[#This Row],[Hospital_ID]],Table1[Hospital_ID],Table1[Country],"Not Found")</f>
        <v>Italy</v>
      </c>
      <c r="S11" t="str">
        <f>_xlfn.XLOOKUP(tblEncounters6[[#This Row],[Hospital_ID]],Table1[Hospital_ID],Table1[FHIR_Enabled],"Not Found")</f>
        <v>No</v>
      </c>
    </row>
    <row r="12" spans="1:19">
      <c r="A12" t="s">
        <v>93</v>
      </c>
      <c r="B12" t="s">
        <v>143</v>
      </c>
      <c r="C12" t="s">
        <v>11</v>
      </c>
      <c r="D12">
        <v>38</v>
      </c>
      <c r="E12" t="str">
        <f>IF(tblEncounters6[[#This Row],[Age]]&lt;30,"18-29",IF(tblEncounters6[[#This Row],[Age]]&lt;45,"30-44",IF(tblEncounters6[[#This Row],[Age]]&lt;60,"45-59",IF(tblEncounters6[[#This Row],[Age]]&lt;75,"60-74","75+"))))</f>
        <v>30-44</v>
      </c>
      <c r="F12" t="s">
        <v>184</v>
      </c>
      <c r="G12" t="s">
        <v>189</v>
      </c>
      <c r="H12" t="s">
        <v>191</v>
      </c>
      <c r="I12" s="11">
        <v>46103</v>
      </c>
      <c r="J12" s="10">
        <f ca="1">tblEncounters6[[#This Row],[Admission_Date]]+RANDBETWEEN(1,12)</f>
        <v>46107</v>
      </c>
      <c r="K12">
        <f ca="1">tblEncounters6[[#This Row],[Discharge_Date]]-tblEncounters6[[#This Row],[Admission_Date]]</f>
        <v>4</v>
      </c>
      <c r="L12" s="10" t="s">
        <v>54</v>
      </c>
      <c r="M12" s="9" t="s">
        <v>193</v>
      </c>
      <c r="N12" t="s">
        <v>53</v>
      </c>
      <c r="O12" t="s">
        <v>54</v>
      </c>
      <c r="P12" t="s">
        <v>53</v>
      </c>
      <c r="Q12" t="str">
        <f>_xlfn.XLOOKUP(tblEncounters6[[#This Row],[Hospital_ID]],Table1[Hospital_ID],Table1[Hospital_Name],"Not Found")</f>
        <v>Nova Medical Centre</v>
      </c>
      <c r="R12" t="str">
        <f>_xlfn.XLOOKUP(tblEncounters6[[#This Row],[Hospital_ID]],Table1[Hospital_ID],Table1[Country],"Not Found")</f>
        <v>Germany</v>
      </c>
      <c r="S12" t="str">
        <f>_xlfn.XLOOKUP(tblEncounters6[[#This Row],[Hospital_ID]],Table1[Hospital_ID],Table1[FHIR_Enabled],"Not Found")</f>
        <v>Yes</v>
      </c>
    </row>
    <row r="13" spans="1:19">
      <c r="A13" t="s">
        <v>94</v>
      </c>
      <c r="B13" t="s">
        <v>144</v>
      </c>
      <c r="C13" t="s">
        <v>12</v>
      </c>
      <c r="D13">
        <v>79</v>
      </c>
      <c r="E13" t="str">
        <f>IF(tblEncounters6[[#This Row],[Age]]&lt;30,"18-29",IF(tblEncounters6[[#This Row],[Age]]&lt;45,"30-44",IF(tblEncounters6[[#This Row],[Age]]&lt;60,"45-59",IF(tblEncounters6[[#This Row],[Age]]&lt;75,"60-74","75+"))))</f>
        <v>75+</v>
      </c>
      <c r="F13" t="s">
        <v>184</v>
      </c>
      <c r="G13" t="s">
        <v>190</v>
      </c>
      <c r="H13" t="s">
        <v>191</v>
      </c>
      <c r="I13" s="10">
        <v>46107</v>
      </c>
      <c r="J13" s="10">
        <f ca="1">tblEncounters6[[#This Row],[Admission_Date]]+RANDBETWEEN(1,12)</f>
        <v>46118</v>
      </c>
      <c r="K13">
        <f ca="1">tblEncounters6[[#This Row],[Discharge_Date]]-tblEncounters6[[#This Row],[Admission_Date]]</f>
        <v>11</v>
      </c>
      <c r="L13" s="10" t="s">
        <v>54</v>
      </c>
      <c r="M13" s="9" t="s">
        <v>194</v>
      </c>
      <c r="N13" t="s">
        <v>53</v>
      </c>
      <c r="O13" t="s">
        <v>54</v>
      </c>
      <c r="P13" t="s">
        <v>54</v>
      </c>
      <c r="Q13" t="str">
        <f>_xlfn.XLOOKUP(tblEncounters6[[#This Row],[Hospital_ID]],Table1[Hospital_ID],Table1[Hospital_Name],"Not Found")</f>
        <v>Aurora Medical Centre</v>
      </c>
      <c r="R13" t="str">
        <f>_xlfn.XLOOKUP(tblEncounters6[[#This Row],[Hospital_ID]],Table1[Hospital_ID],Table1[Country],"Not Found")</f>
        <v>Netherland</v>
      </c>
      <c r="S13" t="str">
        <f>_xlfn.XLOOKUP(tblEncounters6[[#This Row],[Hospital_ID]],Table1[Hospital_ID],Table1[FHIR_Enabled],"Not Found")</f>
        <v>Yes</v>
      </c>
    </row>
    <row r="14" spans="1:19">
      <c r="A14" t="s">
        <v>95</v>
      </c>
      <c r="B14" t="s">
        <v>145</v>
      </c>
      <c r="C14" t="s">
        <v>13</v>
      </c>
      <c r="D14">
        <v>40</v>
      </c>
      <c r="E14" t="str">
        <f>IF(tblEncounters6[[#This Row],[Age]]&lt;30,"18-29",IF(tblEncounters6[[#This Row],[Age]]&lt;45,"30-44",IF(tblEncounters6[[#This Row],[Age]]&lt;60,"45-59",IF(tblEncounters6[[#This Row],[Age]]&lt;75,"60-74","75+"))))</f>
        <v>30-44</v>
      </c>
      <c r="F14" t="s">
        <v>183</v>
      </c>
      <c r="G14" t="s">
        <v>185</v>
      </c>
      <c r="H14" t="s">
        <v>191</v>
      </c>
      <c r="I14" s="10">
        <v>46046</v>
      </c>
      <c r="J14" s="10">
        <f ca="1">tblEncounters6[[#This Row],[Admission_Date]]+RANDBETWEEN(1,12)</f>
        <v>46058</v>
      </c>
      <c r="K14">
        <f ca="1">tblEncounters6[[#This Row],[Discharge_Date]]-tblEncounters6[[#This Row],[Admission_Date]]</f>
        <v>12</v>
      </c>
      <c r="L14" s="10" t="s">
        <v>53</v>
      </c>
      <c r="M14" t="s">
        <v>195</v>
      </c>
      <c r="N14" t="s">
        <v>53</v>
      </c>
      <c r="O14" t="s">
        <v>54</v>
      </c>
      <c r="P14" t="s">
        <v>54</v>
      </c>
      <c r="Q14" t="str">
        <f>_xlfn.XLOOKUP(tblEncounters6[[#This Row],[Hospital_ID]],Table1[Hospital_ID],Table1[Hospital_Name],"Not Found")</f>
        <v>Helis General Hospital</v>
      </c>
      <c r="R14" t="str">
        <f>_xlfn.XLOOKUP(tblEncounters6[[#This Row],[Hospital_ID]],Table1[Hospital_ID],Table1[Country],"Not Found")</f>
        <v>Austria</v>
      </c>
      <c r="S14" t="str">
        <f>_xlfn.XLOOKUP(tblEncounters6[[#This Row],[Hospital_ID]],Table1[Hospital_ID],Table1[FHIR_Enabled],"Not Found")</f>
        <v>Partial</v>
      </c>
    </row>
    <row r="15" spans="1:19">
      <c r="A15" t="s">
        <v>96</v>
      </c>
      <c r="B15" t="s">
        <v>146</v>
      </c>
      <c r="C15" t="s">
        <v>14</v>
      </c>
      <c r="D15">
        <v>39</v>
      </c>
      <c r="E15" t="str">
        <f>IF(tblEncounters6[[#This Row],[Age]]&lt;30,"18-29",IF(tblEncounters6[[#This Row],[Age]]&lt;45,"30-44",IF(tblEncounters6[[#This Row],[Age]]&lt;60,"45-59",IF(tblEncounters6[[#This Row],[Age]]&lt;75,"60-74","75+"))))</f>
        <v>30-44</v>
      </c>
      <c r="F15" t="s">
        <v>183</v>
      </c>
      <c r="G15" t="s">
        <v>186</v>
      </c>
      <c r="H15" t="s">
        <v>191</v>
      </c>
      <c r="I15" s="10">
        <v>46050</v>
      </c>
      <c r="J15" s="10">
        <f ca="1">tblEncounters6[[#This Row],[Admission_Date]]+RANDBETWEEN(1,12)</f>
        <v>46058</v>
      </c>
      <c r="K15">
        <f ca="1">tblEncounters6[[#This Row],[Discharge_Date]]-tblEncounters6[[#This Row],[Admission_Date]]</f>
        <v>8</v>
      </c>
      <c r="L15" s="10" t="s">
        <v>54</v>
      </c>
      <c r="M15" s="9" t="s">
        <v>196</v>
      </c>
      <c r="N15" t="s">
        <v>53</v>
      </c>
      <c r="O15" t="s">
        <v>54</v>
      </c>
      <c r="P15" t="s">
        <v>54</v>
      </c>
      <c r="Q15" t="str">
        <f>_xlfn.XLOOKUP(tblEncounters6[[#This Row],[Hospital_ID]],Table1[Hospital_ID],Table1[Hospital_Name],"Not Found")</f>
        <v>St. Clara Medical Centre</v>
      </c>
      <c r="R15" t="str">
        <f>_xlfn.XLOOKUP(tblEncounters6[[#This Row],[Hospital_ID]],Table1[Hospital_ID],Table1[Country],"Not Found")</f>
        <v>France</v>
      </c>
      <c r="S15" t="str">
        <f>_xlfn.XLOOKUP(tblEncounters6[[#This Row],[Hospital_ID]],Table1[Hospital_ID],Table1[FHIR_Enabled],"Not Found")</f>
        <v>Yes</v>
      </c>
    </row>
    <row r="16" spans="1:19">
      <c r="A16" t="s">
        <v>97</v>
      </c>
      <c r="B16" t="s">
        <v>147</v>
      </c>
      <c r="C16" t="s">
        <v>15</v>
      </c>
      <c r="D16">
        <v>41</v>
      </c>
      <c r="E16" t="str">
        <f>IF(tblEncounters6[[#This Row],[Age]]&lt;30,"18-29",IF(tblEncounters6[[#This Row],[Age]]&lt;45,"30-44",IF(tblEncounters6[[#This Row],[Age]]&lt;60,"45-59",IF(tblEncounters6[[#This Row],[Age]]&lt;75,"60-74","75+"))))</f>
        <v>30-44</v>
      </c>
      <c r="F16" t="s">
        <v>184</v>
      </c>
      <c r="G16" t="s">
        <v>187</v>
      </c>
      <c r="H16" t="s">
        <v>191</v>
      </c>
      <c r="I16" s="10">
        <v>46090</v>
      </c>
      <c r="J16" s="10">
        <f ca="1">tblEncounters6[[#This Row],[Admission_Date]]+RANDBETWEEN(1,12)</f>
        <v>46097</v>
      </c>
      <c r="K16">
        <f ca="1">tblEncounters6[[#This Row],[Discharge_Date]]-tblEncounters6[[#This Row],[Admission_Date]]</f>
        <v>7</v>
      </c>
      <c r="L16" s="10" t="s">
        <v>54</v>
      </c>
      <c r="M16" s="9" t="s">
        <v>197</v>
      </c>
      <c r="N16" t="s">
        <v>53</v>
      </c>
      <c r="O16" t="s">
        <v>53</v>
      </c>
      <c r="P16" t="s">
        <v>54</v>
      </c>
      <c r="Q16" t="str">
        <f>_xlfn.XLOOKUP(tblEncounters6[[#This Row],[Hospital_ID]],Table1[Hospital_ID],Table1[Hospital_Name],"Not Found")</f>
        <v>Europa Health Institute</v>
      </c>
      <c r="R16" t="str">
        <f>_xlfn.XLOOKUP(tblEncounters6[[#This Row],[Hospital_ID]],Table1[Hospital_ID],Table1[Country],"Not Found")</f>
        <v xml:space="preserve">Belgium </v>
      </c>
      <c r="S16" t="str">
        <f>_xlfn.XLOOKUP(tblEncounters6[[#This Row],[Hospital_ID]],Table1[Hospital_ID],Table1[FHIR_Enabled],"Not Found")</f>
        <v>Yes</v>
      </c>
    </row>
    <row r="17" spans="1:19">
      <c r="A17" t="s">
        <v>98</v>
      </c>
      <c r="B17" t="s">
        <v>148</v>
      </c>
      <c r="C17" t="s">
        <v>16</v>
      </c>
      <c r="D17">
        <v>85</v>
      </c>
      <c r="E17" t="str">
        <f>IF(tblEncounters6[[#This Row],[Age]]&lt;30,"18-29",IF(tblEncounters6[[#This Row],[Age]]&lt;45,"30-44",IF(tblEncounters6[[#This Row],[Age]]&lt;60,"45-59",IF(tblEncounters6[[#This Row],[Age]]&lt;75,"60-74","75+"))))</f>
        <v>75+</v>
      </c>
      <c r="F17" t="s">
        <v>183</v>
      </c>
      <c r="G17" t="s">
        <v>188</v>
      </c>
      <c r="H17" t="s">
        <v>192</v>
      </c>
      <c r="I17" s="10">
        <v>46084</v>
      </c>
      <c r="J17" s="10">
        <f ca="1">tblEncounters6[[#This Row],[Admission_Date]]+RANDBETWEEN(1,12)</f>
        <v>46092</v>
      </c>
      <c r="K17">
        <f ca="1">tblEncounters6[[#This Row],[Discharge_Date]]-tblEncounters6[[#This Row],[Admission_Date]]</f>
        <v>8</v>
      </c>
      <c r="L17" s="10" t="s">
        <v>54</v>
      </c>
      <c r="M17" s="9" t="s">
        <v>193</v>
      </c>
      <c r="N17" t="s">
        <v>53</v>
      </c>
      <c r="O17" t="s">
        <v>54</v>
      </c>
      <c r="P17" t="s">
        <v>54</v>
      </c>
      <c r="Q17" t="str">
        <f>_xlfn.XLOOKUP(tblEncounters6[[#This Row],[Hospital_ID]],Table1[Hospital_ID],Table1[Hospital_Name],"Not Found")</f>
        <v>Marbel General Hospital</v>
      </c>
      <c r="R17" t="str">
        <f>_xlfn.XLOOKUP(tblEncounters6[[#This Row],[Hospital_ID]],Table1[Hospital_ID],Table1[Country],"Not Found")</f>
        <v>Sweden</v>
      </c>
      <c r="S17" t="str">
        <f>_xlfn.XLOOKUP(tblEncounters6[[#This Row],[Hospital_ID]],Table1[Hospital_ID],Table1[FHIR_Enabled],"Not Found")</f>
        <v>Yes</v>
      </c>
    </row>
    <row r="18" spans="1:19">
      <c r="A18" t="s">
        <v>99</v>
      </c>
      <c r="B18" t="s">
        <v>149</v>
      </c>
      <c r="C18" t="s">
        <v>17</v>
      </c>
      <c r="D18">
        <v>40</v>
      </c>
      <c r="E18" t="str">
        <f>IF(tblEncounters6[[#This Row],[Age]]&lt;30,"18-29",IF(tblEncounters6[[#This Row],[Age]]&lt;45,"30-44",IF(tblEncounters6[[#This Row],[Age]]&lt;60,"45-59",IF(tblEncounters6[[#This Row],[Age]]&lt;75,"60-74","75+"))))</f>
        <v>30-44</v>
      </c>
      <c r="F18" t="s">
        <v>184</v>
      </c>
      <c r="G18" t="s">
        <v>189</v>
      </c>
      <c r="H18" t="s">
        <v>191</v>
      </c>
      <c r="I18" s="10">
        <v>46044</v>
      </c>
      <c r="J18" s="10">
        <f ca="1">tblEncounters6[[#This Row],[Admission_Date]]+RANDBETWEEN(1,12)</f>
        <v>46053</v>
      </c>
      <c r="K18">
        <f ca="1">tblEncounters6[[#This Row],[Discharge_Date]]-tblEncounters6[[#This Row],[Admission_Date]]</f>
        <v>9</v>
      </c>
      <c r="L18" s="10" t="s">
        <v>53</v>
      </c>
      <c r="M18" s="9" t="s">
        <v>194</v>
      </c>
      <c r="N18" t="s">
        <v>53</v>
      </c>
      <c r="O18" t="s">
        <v>54</v>
      </c>
      <c r="P18" t="s">
        <v>53</v>
      </c>
      <c r="Q18" t="str">
        <f>_xlfn.XLOOKUP(tblEncounters6[[#This Row],[Hospital_ID]],Table1[Hospital_ID],Table1[Hospital_Name],"Not Found")</f>
        <v>Helix Medical Centre</v>
      </c>
      <c r="R18" t="str">
        <f>_xlfn.XLOOKUP(tblEncounters6[[#This Row],[Hospital_ID]],Table1[Hospital_ID],Table1[Country],"Not Found")</f>
        <v>Denmark</v>
      </c>
      <c r="S18" t="str">
        <f>_xlfn.XLOOKUP(tblEncounters6[[#This Row],[Hospital_ID]],Table1[Hospital_ID],Table1[FHIR_Enabled],"Not Found")</f>
        <v>Partial</v>
      </c>
    </row>
    <row r="19" spans="1:19">
      <c r="A19" t="s">
        <v>100</v>
      </c>
      <c r="B19" t="s">
        <v>150</v>
      </c>
      <c r="C19" t="s">
        <v>18</v>
      </c>
      <c r="D19">
        <v>72</v>
      </c>
      <c r="E19" t="str">
        <f>IF(tblEncounters6[[#This Row],[Age]]&lt;30,"18-29",IF(tblEncounters6[[#This Row],[Age]]&lt;45,"30-44",IF(tblEncounters6[[#This Row],[Age]]&lt;60,"45-59",IF(tblEncounters6[[#This Row],[Age]]&lt;75,"60-74","75+"))))</f>
        <v>60-74</v>
      </c>
      <c r="F19" t="s">
        <v>183</v>
      </c>
      <c r="G19" t="s">
        <v>190</v>
      </c>
      <c r="H19" t="s">
        <v>192</v>
      </c>
      <c r="I19" s="10">
        <v>46044</v>
      </c>
      <c r="J19" s="10">
        <f ca="1">tblEncounters6[[#This Row],[Admission_Date]]+RANDBETWEEN(1,12)</f>
        <v>46053</v>
      </c>
      <c r="K19">
        <f ca="1">tblEncounters6[[#This Row],[Discharge_Date]]-tblEncounters6[[#This Row],[Admission_Date]]</f>
        <v>9</v>
      </c>
      <c r="L19" s="10" t="s">
        <v>54</v>
      </c>
      <c r="M19" t="s">
        <v>195</v>
      </c>
      <c r="N19" t="s">
        <v>53</v>
      </c>
      <c r="O19" t="s">
        <v>54</v>
      </c>
      <c r="P19" t="s">
        <v>53</v>
      </c>
      <c r="Q19" t="str">
        <f>_xlfn.XLOOKUP(tblEncounters6[[#This Row],[Hospital_ID]],Table1[Hospital_ID],Table1[Hospital_Name],"Not Found")</f>
        <v>St.Aldric University Hospital</v>
      </c>
      <c r="R19" t="str">
        <f>_xlfn.XLOOKUP(tblEncounters6[[#This Row],[Hospital_ID]],Table1[Hospital_ID],Table1[Country],"Not Found")</f>
        <v>Finland</v>
      </c>
      <c r="S19" t="str">
        <f>_xlfn.XLOOKUP(tblEncounters6[[#This Row],[Hospital_ID]],Table1[Hospital_ID],Table1[FHIR_Enabled],"Not Found")</f>
        <v>Yes</v>
      </c>
    </row>
    <row r="20" spans="1:19">
      <c r="A20" t="s">
        <v>101</v>
      </c>
      <c r="B20" t="s">
        <v>151</v>
      </c>
      <c r="C20" t="s">
        <v>19</v>
      </c>
      <c r="D20">
        <v>81</v>
      </c>
      <c r="E20" t="str">
        <f>IF(tblEncounters6[[#This Row],[Age]]&lt;30,"18-29",IF(tblEncounters6[[#This Row],[Age]]&lt;45,"30-44",IF(tblEncounters6[[#This Row],[Age]]&lt;60,"45-59",IF(tblEncounters6[[#This Row],[Age]]&lt;75,"60-74","75+"))))</f>
        <v>75+</v>
      </c>
      <c r="F20" t="s">
        <v>184</v>
      </c>
      <c r="G20" t="s">
        <v>185</v>
      </c>
      <c r="H20" t="s">
        <v>191</v>
      </c>
      <c r="I20" s="10">
        <v>46105</v>
      </c>
      <c r="J20" s="10">
        <f ca="1">tblEncounters6[[#This Row],[Admission_Date]]+RANDBETWEEN(1,12)</f>
        <v>46109</v>
      </c>
      <c r="K20">
        <f ca="1">tblEncounters6[[#This Row],[Discharge_Date]]-tblEncounters6[[#This Row],[Admission_Date]]</f>
        <v>4</v>
      </c>
      <c r="L20" s="10" t="s">
        <v>54</v>
      </c>
      <c r="M20" s="9" t="s">
        <v>196</v>
      </c>
      <c r="N20" t="s">
        <v>53</v>
      </c>
      <c r="O20" t="s">
        <v>54</v>
      </c>
      <c r="P20" t="s">
        <v>54</v>
      </c>
      <c r="Q20" t="str">
        <f>_xlfn.XLOOKUP(tblEncounters6[[#This Row],[Hospital_ID]],Table1[Hospital_ID],Table1[Hospital_Name],"Not Found")</f>
        <v>Clinica Santa Marisol</v>
      </c>
      <c r="R20" t="str">
        <f>_xlfn.XLOOKUP(tblEncounters6[[#This Row],[Hospital_ID]],Table1[Hospital_ID],Table1[Country],"Not Found")</f>
        <v>Spain</v>
      </c>
      <c r="S20" t="str">
        <f>_xlfn.XLOOKUP(tblEncounters6[[#This Row],[Hospital_ID]],Table1[Hospital_ID],Table1[FHIR_Enabled],"Not Found")</f>
        <v>Partial</v>
      </c>
    </row>
    <row r="21" spans="1:19">
      <c r="A21" t="s">
        <v>102</v>
      </c>
      <c r="B21" t="s">
        <v>152</v>
      </c>
      <c r="C21" t="s">
        <v>20</v>
      </c>
      <c r="D21">
        <v>69</v>
      </c>
      <c r="E21" t="str">
        <f>IF(tblEncounters6[[#This Row],[Age]]&lt;30,"18-29",IF(tblEncounters6[[#This Row],[Age]]&lt;45,"30-44",IF(tblEncounters6[[#This Row],[Age]]&lt;60,"45-59",IF(tblEncounters6[[#This Row],[Age]]&lt;75,"60-74","75+"))))</f>
        <v>60-74</v>
      </c>
      <c r="F21" t="s">
        <v>183</v>
      </c>
      <c r="G21" t="s">
        <v>186</v>
      </c>
      <c r="H21" t="s">
        <v>191</v>
      </c>
      <c r="I21" s="10">
        <v>46096</v>
      </c>
      <c r="J21" s="10">
        <f ca="1">tblEncounters6[[#This Row],[Admission_Date]]+RANDBETWEEN(1,12)</f>
        <v>46105</v>
      </c>
      <c r="K21">
        <f ca="1">tblEncounters6[[#This Row],[Discharge_Date]]-tblEncounters6[[#This Row],[Admission_Date]]</f>
        <v>9</v>
      </c>
      <c r="L21" s="10" t="s">
        <v>54</v>
      </c>
      <c r="M21" s="9" t="s">
        <v>197</v>
      </c>
      <c r="N21" t="s">
        <v>53</v>
      </c>
      <c r="O21" t="s">
        <v>54</v>
      </c>
      <c r="P21" t="s">
        <v>54</v>
      </c>
      <c r="Q21" t="str">
        <f>_xlfn.XLOOKUP(tblEncounters6[[#This Row],[Hospital_ID]],Table1[Hospital_ID],Table1[Hospital_Name],"Not Found")</f>
        <v>Nordhavan Regional Medical Centre</v>
      </c>
      <c r="R21" t="str">
        <f>_xlfn.XLOOKUP(tblEncounters6[[#This Row],[Hospital_ID]],Table1[Hospital_ID],Table1[Country],"Not Found")</f>
        <v>Italy</v>
      </c>
      <c r="S21" t="str">
        <f>_xlfn.XLOOKUP(tblEncounters6[[#This Row],[Hospital_ID]],Table1[Hospital_ID],Table1[FHIR_Enabled],"Not Found")</f>
        <v>No</v>
      </c>
    </row>
    <row r="22" spans="1:19">
      <c r="A22" t="s">
        <v>103</v>
      </c>
      <c r="B22" t="s">
        <v>153</v>
      </c>
      <c r="C22" t="s">
        <v>11</v>
      </c>
      <c r="D22">
        <v>63</v>
      </c>
      <c r="E22" t="str">
        <f>IF(tblEncounters6[[#This Row],[Age]]&lt;30,"18-29",IF(tblEncounters6[[#This Row],[Age]]&lt;45,"30-44",IF(tblEncounters6[[#This Row],[Age]]&lt;60,"45-59",IF(tblEncounters6[[#This Row],[Age]]&lt;75,"60-74","75+"))))</f>
        <v>60-74</v>
      </c>
      <c r="F22" t="s">
        <v>183</v>
      </c>
      <c r="G22" t="s">
        <v>187</v>
      </c>
      <c r="H22" t="s">
        <v>191</v>
      </c>
      <c r="I22" s="10">
        <v>46112</v>
      </c>
      <c r="J22" s="10">
        <f ca="1">tblEncounters6[[#This Row],[Admission_Date]]+RANDBETWEEN(1,12)</f>
        <v>46122</v>
      </c>
      <c r="K22">
        <f ca="1">tblEncounters6[[#This Row],[Discharge_Date]]-tblEncounters6[[#This Row],[Admission_Date]]</f>
        <v>10</v>
      </c>
      <c r="L22" s="10" t="s">
        <v>53</v>
      </c>
      <c r="M22" s="9" t="s">
        <v>193</v>
      </c>
      <c r="N22" t="s">
        <v>53</v>
      </c>
      <c r="O22" t="s">
        <v>53</v>
      </c>
      <c r="P22" t="s">
        <v>54</v>
      </c>
      <c r="Q22" t="str">
        <f>_xlfn.XLOOKUP(tblEncounters6[[#This Row],[Hospital_ID]],Table1[Hospital_ID],Table1[Hospital_Name],"Not Found")</f>
        <v>Nova Medical Centre</v>
      </c>
      <c r="R22" t="str">
        <f>_xlfn.XLOOKUP(tblEncounters6[[#This Row],[Hospital_ID]],Table1[Hospital_ID],Table1[Country],"Not Found")</f>
        <v>Germany</v>
      </c>
      <c r="S22" t="str">
        <f>_xlfn.XLOOKUP(tblEncounters6[[#This Row],[Hospital_ID]],Table1[Hospital_ID],Table1[FHIR_Enabled],"Not Found")</f>
        <v>Yes</v>
      </c>
    </row>
    <row r="23" spans="1:19">
      <c r="A23" t="s">
        <v>104</v>
      </c>
      <c r="B23" t="s">
        <v>154</v>
      </c>
      <c r="C23" t="s">
        <v>12</v>
      </c>
      <c r="D23">
        <v>56</v>
      </c>
      <c r="E23" t="str">
        <f>IF(tblEncounters6[[#This Row],[Age]]&lt;30,"18-29",IF(tblEncounters6[[#This Row],[Age]]&lt;45,"30-44",IF(tblEncounters6[[#This Row],[Age]]&lt;60,"45-59",IF(tblEncounters6[[#This Row],[Age]]&lt;75,"60-74","75+"))))</f>
        <v>45-59</v>
      </c>
      <c r="F23" t="s">
        <v>184</v>
      </c>
      <c r="G23" t="s">
        <v>188</v>
      </c>
      <c r="H23" t="s">
        <v>192</v>
      </c>
      <c r="I23" s="10">
        <v>46093</v>
      </c>
      <c r="J23" s="10">
        <f ca="1">tblEncounters6[[#This Row],[Admission_Date]]+RANDBETWEEN(1,12)</f>
        <v>46094</v>
      </c>
      <c r="K23">
        <f ca="1">tblEncounters6[[#This Row],[Discharge_Date]]-tblEncounters6[[#This Row],[Admission_Date]]</f>
        <v>1</v>
      </c>
      <c r="L23" s="10" t="s">
        <v>54</v>
      </c>
      <c r="M23" s="9" t="s">
        <v>194</v>
      </c>
      <c r="N23" t="s">
        <v>53</v>
      </c>
      <c r="O23" t="s">
        <v>54</v>
      </c>
      <c r="P23" t="s">
        <v>54</v>
      </c>
      <c r="Q23" t="str">
        <f>_xlfn.XLOOKUP(tblEncounters6[[#This Row],[Hospital_ID]],Table1[Hospital_ID],Table1[Hospital_Name],"Not Found")</f>
        <v>Aurora Medical Centre</v>
      </c>
      <c r="R23" t="str">
        <f>_xlfn.XLOOKUP(tblEncounters6[[#This Row],[Hospital_ID]],Table1[Hospital_ID],Table1[Country],"Not Found")</f>
        <v>Netherland</v>
      </c>
      <c r="S23" t="str">
        <f>_xlfn.XLOOKUP(tblEncounters6[[#This Row],[Hospital_ID]],Table1[Hospital_ID],Table1[FHIR_Enabled],"Not Found")</f>
        <v>Yes</v>
      </c>
    </row>
    <row r="24" spans="1:19">
      <c r="A24" t="s">
        <v>105</v>
      </c>
      <c r="B24" t="s">
        <v>155</v>
      </c>
      <c r="C24" t="s">
        <v>13</v>
      </c>
      <c r="D24">
        <v>85</v>
      </c>
      <c r="E24" t="str">
        <f>IF(tblEncounters6[[#This Row],[Age]]&lt;30,"18-29",IF(tblEncounters6[[#This Row],[Age]]&lt;45,"30-44",IF(tblEncounters6[[#This Row],[Age]]&lt;60,"45-59",IF(tblEncounters6[[#This Row],[Age]]&lt;75,"60-74","75+"))))</f>
        <v>75+</v>
      </c>
      <c r="F24" t="s">
        <v>184</v>
      </c>
      <c r="G24" t="s">
        <v>189</v>
      </c>
      <c r="H24" t="s">
        <v>191</v>
      </c>
      <c r="I24" s="10">
        <v>46025</v>
      </c>
      <c r="J24" s="10">
        <f ca="1">tblEncounters6[[#This Row],[Admission_Date]]+RANDBETWEEN(1,12)</f>
        <v>46026</v>
      </c>
      <c r="K24">
        <f ca="1">tblEncounters6[[#This Row],[Discharge_Date]]-tblEncounters6[[#This Row],[Admission_Date]]</f>
        <v>1</v>
      </c>
      <c r="L24" s="10" t="s">
        <v>54</v>
      </c>
      <c r="M24" t="s">
        <v>195</v>
      </c>
      <c r="N24" t="s">
        <v>53</v>
      </c>
      <c r="O24" t="s">
        <v>54</v>
      </c>
      <c r="P24" t="s">
        <v>54</v>
      </c>
      <c r="Q24" t="str">
        <f>_xlfn.XLOOKUP(tblEncounters6[[#This Row],[Hospital_ID]],Table1[Hospital_ID],Table1[Hospital_Name],"Not Found")</f>
        <v>Helis General Hospital</v>
      </c>
      <c r="R24" t="str">
        <f>_xlfn.XLOOKUP(tblEncounters6[[#This Row],[Hospital_ID]],Table1[Hospital_ID],Table1[Country],"Not Found")</f>
        <v>Austria</v>
      </c>
      <c r="S24" t="str">
        <f>_xlfn.XLOOKUP(tblEncounters6[[#This Row],[Hospital_ID]],Table1[Hospital_ID],Table1[FHIR_Enabled],"Not Found")</f>
        <v>Partial</v>
      </c>
    </row>
    <row r="25" spans="1:19">
      <c r="A25" t="s">
        <v>106</v>
      </c>
      <c r="B25" t="s">
        <v>156</v>
      </c>
      <c r="C25" t="s">
        <v>14</v>
      </c>
      <c r="D25">
        <v>49</v>
      </c>
      <c r="E25" t="str">
        <f>IF(tblEncounters6[[#This Row],[Age]]&lt;30,"18-29",IF(tblEncounters6[[#This Row],[Age]]&lt;45,"30-44",IF(tblEncounters6[[#This Row],[Age]]&lt;60,"45-59",IF(tblEncounters6[[#This Row],[Age]]&lt;75,"60-74","75+"))))</f>
        <v>45-59</v>
      </c>
      <c r="F25" t="s">
        <v>183</v>
      </c>
      <c r="G25" t="s">
        <v>190</v>
      </c>
      <c r="H25" t="s">
        <v>192</v>
      </c>
      <c r="I25" s="10">
        <v>46071</v>
      </c>
      <c r="J25" s="10">
        <f ca="1">tblEncounters6[[#This Row],[Admission_Date]]+RANDBETWEEN(1,12)</f>
        <v>46078</v>
      </c>
      <c r="K25">
        <f ca="1">tblEncounters6[[#This Row],[Discharge_Date]]-tblEncounters6[[#This Row],[Admission_Date]]</f>
        <v>7</v>
      </c>
      <c r="L25" s="10" t="s">
        <v>54</v>
      </c>
      <c r="M25" s="9" t="s">
        <v>196</v>
      </c>
      <c r="N25" t="s">
        <v>54</v>
      </c>
      <c r="O25" t="s">
        <v>54</v>
      </c>
      <c r="P25" t="s">
        <v>54</v>
      </c>
      <c r="Q25" t="str">
        <f>_xlfn.XLOOKUP(tblEncounters6[[#This Row],[Hospital_ID]],Table1[Hospital_ID],Table1[Hospital_Name],"Not Found")</f>
        <v>St. Clara Medical Centre</v>
      </c>
      <c r="R25" t="str">
        <f>_xlfn.XLOOKUP(tblEncounters6[[#This Row],[Hospital_ID]],Table1[Hospital_ID],Table1[Country],"Not Found")</f>
        <v>France</v>
      </c>
      <c r="S25" t="str">
        <f>_xlfn.XLOOKUP(tblEncounters6[[#This Row],[Hospital_ID]],Table1[Hospital_ID],Table1[FHIR_Enabled],"Not Found")</f>
        <v>Yes</v>
      </c>
    </row>
    <row r="26" spans="1:19">
      <c r="A26" t="s">
        <v>107</v>
      </c>
      <c r="B26" t="s">
        <v>157</v>
      </c>
      <c r="C26" t="s">
        <v>15</v>
      </c>
      <c r="D26">
        <v>25</v>
      </c>
      <c r="E26" t="str">
        <f>IF(tblEncounters6[[#This Row],[Age]]&lt;30,"18-29",IF(tblEncounters6[[#This Row],[Age]]&lt;45,"30-44",IF(tblEncounters6[[#This Row],[Age]]&lt;60,"45-59",IF(tblEncounters6[[#This Row],[Age]]&lt;75,"60-74","75+"))))</f>
        <v>18-29</v>
      </c>
      <c r="F26" t="s">
        <v>184</v>
      </c>
      <c r="G26" t="s">
        <v>185</v>
      </c>
      <c r="H26" t="s">
        <v>191</v>
      </c>
      <c r="I26" s="10">
        <v>46100</v>
      </c>
      <c r="J26" s="10">
        <f ca="1">tblEncounters6[[#This Row],[Admission_Date]]+RANDBETWEEN(1,12)</f>
        <v>46102</v>
      </c>
      <c r="K26">
        <f ca="1">tblEncounters6[[#This Row],[Discharge_Date]]-tblEncounters6[[#This Row],[Admission_Date]]</f>
        <v>2</v>
      </c>
      <c r="L26" s="10" t="s">
        <v>54</v>
      </c>
      <c r="M26" s="9" t="s">
        <v>197</v>
      </c>
      <c r="N26" t="s">
        <v>53</v>
      </c>
      <c r="O26" t="s">
        <v>54</v>
      </c>
      <c r="P26" t="s">
        <v>54</v>
      </c>
      <c r="Q26" t="str">
        <f>_xlfn.XLOOKUP(tblEncounters6[[#This Row],[Hospital_ID]],Table1[Hospital_ID],Table1[Hospital_Name],"Not Found")</f>
        <v>Europa Health Institute</v>
      </c>
      <c r="R26" t="str">
        <f>_xlfn.XLOOKUP(tblEncounters6[[#This Row],[Hospital_ID]],Table1[Hospital_ID],Table1[Country],"Not Found")</f>
        <v xml:space="preserve">Belgium </v>
      </c>
      <c r="S26" t="str">
        <f>_xlfn.XLOOKUP(tblEncounters6[[#This Row],[Hospital_ID]],Table1[Hospital_ID],Table1[FHIR_Enabled],"Not Found")</f>
        <v>Yes</v>
      </c>
    </row>
    <row r="27" spans="1:19">
      <c r="A27" t="s">
        <v>108</v>
      </c>
      <c r="B27" t="s">
        <v>158</v>
      </c>
      <c r="C27" t="s">
        <v>16</v>
      </c>
      <c r="D27">
        <v>45</v>
      </c>
      <c r="E27" t="str">
        <f>IF(tblEncounters6[[#This Row],[Age]]&lt;30,"18-29",IF(tblEncounters6[[#This Row],[Age]]&lt;45,"30-44",IF(tblEncounters6[[#This Row],[Age]]&lt;60,"45-59",IF(tblEncounters6[[#This Row],[Age]]&lt;75,"60-74","75+"))))</f>
        <v>45-59</v>
      </c>
      <c r="F27" t="s">
        <v>183</v>
      </c>
      <c r="G27" t="s">
        <v>186</v>
      </c>
      <c r="H27" t="s">
        <v>192</v>
      </c>
      <c r="I27" s="10">
        <v>46041</v>
      </c>
      <c r="J27" s="10">
        <f ca="1">tblEncounters6[[#This Row],[Admission_Date]]+RANDBETWEEN(1,12)</f>
        <v>46050</v>
      </c>
      <c r="K27">
        <f ca="1">tblEncounters6[[#This Row],[Discharge_Date]]-tblEncounters6[[#This Row],[Admission_Date]]</f>
        <v>9</v>
      </c>
      <c r="L27" s="10" t="s">
        <v>54</v>
      </c>
      <c r="M27" s="9" t="s">
        <v>193</v>
      </c>
      <c r="N27" t="s">
        <v>53</v>
      </c>
      <c r="O27" t="s">
        <v>54</v>
      </c>
      <c r="P27" t="s">
        <v>53</v>
      </c>
      <c r="Q27" t="str">
        <f>_xlfn.XLOOKUP(tblEncounters6[[#This Row],[Hospital_ID]],Table1[Hospital_ID],Table1[Hospital_Name],"Not Found")</f>
        <v>Marbel General Hospital</v>
      </c>
      <c r="R27" t="str">
        <f>_xlfn.XLOOKUP(tblEncounters6[[#This Row],[Hospital_ID]],Table1[Hospital_ID],Table1[Country],"Not Found")</f>
        <v>Sweden</v>
      </c>
      <c r="S27" t="str">
        <f>_xlfn.XLOOKUP(tblEncounters6[[#This Row],[Hospital_ID]],Table1[Hospital_ID],Table1[FHIR_Enabled],"Not Found")</f>
        <v>Yes</v>
      </c>
    </row>
    <row r="28" spans="1:19">
      <c r="A28" t="s">
        <v>109</v>
      </c>
      <c r="B28" t="s">
        <v>159</v>
      </c>
      <c r="C28" t="s">
        <v>17</v>
      </c>
      <c r="D28">
        <v>48</v>
      </c>
      <c r="E28" t="str">
        <f>IF(tblEncounters6[[#This Row],[Age]]&lt;30,"18-29",IF(tblEncounters6[[#This Row],[Age]]&lt;45,"30-44",IF(tblEncounters6[[#This Row],[Age]]&lt;60,"45-59",IF(tblEncounters6[[#This Row],[Age]]&lt;75,"60-74","75+"))))</f>
        <v>45-59</v>
      </c>
      <c r="F28" t="s">
        <v>184</v>
      </c>
      <c r="G28" t="s">
        <v>187</v>
      </c>
      <c r="H28" t="s">
        <v>191</v>
      </c>
      <c r="I28" s="10">
        <v>46079</v>
      </c>
      <c r="J28" s="10">
        <f ca="1">tblEncounters6[[#This Row],[Admission_Date]]+RANDBETWEEN(1,12)</f>
        <v>46087</v>
      </c>
      <c r="K28">
        <f ca="1">tblEncounters6[[#This Row],[Discharge_Date]]-tblEncounters6[[#This Row],[Admission_Date]]</f>
        <v>8</v>
      </c>
      <c r="L28" s="10" t="s">
        <v>53</v>
      </c>
      <c r="M28" s="9" t="s">
        <v>194</v>
      </c>
      <c r="N28" t="s">
        <v>53</v>
      </c>
      <c r="O28" t="s">
        <v>53</v>
      </c>
      <c r="P28" t="s">
        <v>53</v>
      </c>
      <c r="Q28" t="str">
        <f>_xlfn.XLOOKUP(tblEncounters6[[#This Row],[Hospital_ID]],Table1[Hospital_ID],Table1[Hospital_Name],"Not Found")</f>
        <v>Helix Medical Centre</v>
      </c>
      <c r="R28" t="str">
        <f>_xlfn.XLOOKUP(tblEncounters6[[#This Row],[Hospital_ID]],Table1[Hospital_ID],Table1[Country],"Not Found")</f>
        <v>Denmark</v>
      </c>
      <c r="S28" t="str">
        <f>_xlfn.XLOOKUP(tblEncounters6[[#This Row],[Hospital_ID]],Table1[Hospital_ID],Table1[FHIR_Enabled],"Not Found")</f>
        <v>Partial</v>
      </c>
    </row>
    <row r="29" spans="1:19">
      <c r="A29" t="s">
        <v>110</v>
      </c>
      <c r="B29" t="s">
        <v>160</v>
      </c>
      <c r="C29" t="s">
        <v>18</v>
      </c>
      <c r="D29">
        <v>53</v>
      </c>
      <c r="E29" t="str">
        <f>IF(tblEncounters6[[#This Row],[Age]]&lt;30,"18-29",IF(tblEncounters6[[#This Row],[Age]]&lt;45,"30-44",IF(tblEncounters6[[#This Row],[Age]]&lt;60,"45-59",IF(tblEncounters6[[#This Row],[Age]]&lt;75,"60-74","75+"))))</f>
        <v>45-59</v>
      </c>
      <c r="F29" t="s">
        <v>184</v>
      </c>
      <c r="G29" t="s">
        <v>188</v>
      </c>
      <c r="H29" t="s">
        <v>192</v>
      </c>
      <c r="I29" s="10">
        <v>46052</v>
      </c>
      <c r="J29" s="10">
        <f ca="1">tblEncounters6[[#This Row],[Admission_Date]]+RANDBETWEEN(1,12)</f>
        <v>46061</v>
      </c>
      <c r="K29">
        <f ca="1">tblEncounters6[[#This Row],[Discharge_Date]]-tblEncounters6[[#This Row],[Admission_Date]]</f>
        <v>9</v>
      </c>
      <c r="L29" s="10" t="s">
        <v>54</v>
      </c>
      <c r="M29" t="s">
        <v>195</v>
      </c>
      <c r="N29" t="s">
        <v>53</v>
      </c>
      <c r="O29" t="s">
        <v>54</v>
      </c>
      <c r="P29" t="s">
        <v>54</v>
      </c>
      <c r="Q29" t="str">
        <f>_xlfn.XLOOKUP(tblEncounters6[[#This Row],[Hospital_ID]],Table1[Hospital_ID],Table1[Hospital_Name],"Not Found")</f>
        <v>St.Aldric University Hospital</v>
      </c>
      <c r="R29" t="str">
        <f>_xlfn.XLOOKUP(tblEncounters6[[#This Row],[Hospital_ID]],Table1[Hospital_ID],Table1[Country],"Not Found")</f>
        <v>Finland</v>
      </c>
      <c r="S29" t="str">
        <f>_xlfn.XLOOKUP(tblEncounters6[[#This Row],[Hospital_ID]],Table1[Hospital_ID],Table1[FHIR_Enabled],"Not Found")</f>
        <v>Yes</v>
      </c>
    </row>
    <row r="30" spans="1:19">
      <c r="A30" t="s">
        <v>111</v>
      </c>
      <c r="B30" t="s">
        <v>161</v>
      </c>
      <c r="C30" t="s">
        <v>19</v>
      </c>
      <c r="D30">
        <v>41</v>
      </c>
      <c r="E30" t="str">
        <f>IF(tblEncounters6[[#This Row],[Age]]&lt;30,"18-29",IF(tblEncounters6[[#This Row],[Age]]&lt;45,"30-44",IF(tblEncounters6[[#This Row],[Age]]&lt;60,"45-59",IF(tblEncounters6[[#This Row],[Age]]&lt;75,"60-74","75+"))))</f>
        <v>30-44</v>
      </c>
      <c r="F30" t="s">
        <v>183</v>
      </c>
      <c r="G30" t="s">
        <v>189</v>
      </c>
      <c r="H30" t="s">
        <v>191</v>
      </c>
      <c r="I30" s="10">
        <v>46087</v>
      </c>
      <c r="J30" s="10">
        <f ca="1">tblEncounters6[[#This Row],[Admission_Date]]+RANDBETWEEN(1,12)</f>
        <v>46099</v>
      </c>
      <c r="K30">
        <f ca="1">tblEncounters6[[#This Row],[Discharge_Date]]-tblEncounters6[[#This Row],[Admission_Date]]</f>
        <v>12</v>
      </c>
      <c r="L30" s="10" t="s">
        <v>54</v>
      </c>
      <c r="M30" s="9" t="s">
        <v>196</v>
      </c>
      <c r="N30" t="s">
        <v>53</v>
      </c>
      <c r="O30" t="s">
        <v>54</v>
      </c>
      <c r="P30" t="s">
        <v>54</v>
      </c>
      <c r="Q30" t="str">
        <f>_xlfn.XLOOKUP(tblEncounters6[[#This Row],[Hospital_ID]],Table1[Hospital_ID],Table1[Hospital_Name],"Not Found")</f>
        <v>Clinica Santa Marisol</v>
      </c>
      <c r="R30" t="str">
        <f>_xlfn.XLOOKUP(tblEncounters6[[#This Row],[Hospital_ID]],Table1[Hospital_ID],Table1[Country],"Not Found")</f>
        <v>Spain</v>
      </c>
      <c r="S30" t="str">
        <f>_xlfn.XLOOKUP(tblEncounters6[[#This Row],[Hospital_ID]],Table1[Hospital_ID],Table1[FHIR_Enabled],"Not Found")</f>
        <v>Partial</v>
      </c>
    </row>
    <row r="31" spans="1:19">
      <c r="A31" t="s">
        <v>112</v>
      </c>
      <c r="B31" t="s">
        <v>162</v>
      </c>
      <c r="C31" t="s">
        <v>20</v>
      </c>
      <c r="D31">
        <v>26</v>
      </c>
      <c r="E31" t="str">
        <f>IF(tblEncounters6[[#This Row],[Age]]&lt;30,"18-29",IF(tblEncounters6[[#This Row],[Age]]&lt;45,"30-44",IF(tblEncounters6[[#This Row],[Age]]&lt;60,"45-59",IF(tblEncounters6[[#This Row],[Age]]&lt;75,"60-74","75+"))))</f>
        <v>18-29</v>
      </c>
      <c r="F31" t="s">
        <v>184</v>
      </c>
      <c r="G31" t="s">
        <v>190</v>
      </c>
      <c r="H31" t="s">
        <v>192</v>
      </c>
      <c r="I31" s="10">
        <v>46068</v>
      </c>
      <c r="J31" s="10">
        <f ca="1">tblEncounters6[[#This Row],[Admission_Date]]+RANDBETWEEN(1,12)</f>
        <v>46077</v>
      </c>
      <c r="K31">
        <f ca="1">tblEncounters6[[#This Row],[Discharge_Date]]-tblEncounters6[[#This Row],[Admission_Date]]</f>
        <v>9</v>
      </c>
      <c r="L31" s="10" t="s">
        <v>54</v>
      </c>
      <c r="M31" s="9" t="s">
        <v>197</v>
      </c>
      <c r="N31" t="s">
        <v>53</v>
      </c>
      <c r="O31" t="s">
        <v>54</v>
      </c>
      <c r="P31" t="s">
        <v>54</v>
      </c>
      <c r="Q31" t="str">
        <f>_xlfn.XLOOKUP(tblEncounters6[[#This Row],[Hospital_ID]],Table1[Hospital_ID],Table1[Hospital_Name],"Not Found")</f>
        <v>Nordhavan Regional Medical Centre</v>
      </c>
      <c r="R31" t="str">
        <f>_xlfn.XLOOKUP(tblEncounters6[[#This Row],[Hospital_ID]],Table1[Hospital_ID],Table1[Country],"Not Found")</f>
        <v>Italy</v>
      </c>
      <c r="S31" t="str">
        <f>_xlfn.XLOOKUP(tblEncounters6[[#This Row],[Hospital_ID]],Table1[Hospital_ID],Table1[FHIR_Enabled],"Not Found")</f>
        <v>No</v>
      </c>
    </row>
    <row r="32" spans="1:19">
      <c r="A32" t="s">
        <v>113</v>
      </c>
      <c r="B32" t="s">
        <v>163</v>
      </c>
      <c r="C32" t="s">
        <v>11</v>
      </c>
      <c r="D32">
        <v>48</v>
      </c>
      <c r="E32" t="str">
        <f>IF(tblEncounters6[[#This Row],[Age]]&lt;30,"18-29",IF(tblEncounters6[[#This Row],[Age]]&lt;45,"30-44",IF(tblEncounters6[[#This Row],[Age]]&lt;60,"45-59",IF(tblEncounters6[[#This Row],[Age]]&lt;75,"60-74","75+"))))</f>
        <v>45-59</v>
      </c>
      <c r="F32" t="s">
        <v>183</v>
      </c>
      <c r="G32" t="s">
        <v>185</v>
      </c>
      <c r="H32" t="s">
        <v>191</v>
      </c>
      <c r="I32" s="10">
        <v>46063</v>
      </c>
      <c r="J32" s="10">
        <f ca="1">tblEncounters6[[#This Row],[Admission_Date]]+RANDBETWEEN(1,12)</f>
        <v>46064</v>
      </c>
      <c r="K32">
        <f ca="1">tblEncounters6[[#This Row],[Discharge_Date]]-tblEncounters6[[#This Row],[Admission_Date]]</f>
        <v>1</v>
      </c>
      <c r="L32" s="10" t="s">
        <v>53</v>
      </c>
      <c r="M32" s="9" t="s">
        <v>193</v>
      </c>
      <c r="N32" t="s">
        <v>53</v>
      </c>
      <c r="O32" t="s">
        <v>54</v>
      </c>
      <c r="P32" t="s">
        <v>54</v>
      </c>
      <c r="Q32" t="str">
        <f>_xlfn.XLOOKUP(tblEncounters6[[#This Row],[Hospital_ID]],Table1[Hospital_ID],Table1[Hospital_Name],"Not Found")</f>
        <v>Nova Medical Centre</v>
      </c>
      <c r="R32" t="str">
        <f>_xlfn.XLOOKUP(tblEncounters6[[#This Row],[Hospital_ID]],Table1[Hospital_ID],Table1[Country],"Not Found")</f>
        <v>Germany</v>
      </c>
      <c r="S32" t="str">
        <f>_xlfn.XLOOKUP(tblEncounters6[[#This Row],[Hospital_ID]],Table1[Hospital_ID],Table1[FHIR_Enabled],"Not Found")</f>
        <v>Yes</v>
      </c>
    </row>
    <row r="33" spans="1:19">
      <c r="A33" t="s">
        <v>114</v>
      </c>
      <c r="B33" t="s">
        <v>164</v>
      </c>
      <c r="C33" t="s">
        <v>12</v>
      </c>
      <c r="D33">
        <v>66</v>
      </c>
      <c r="E33" t="str">
        <f>IF(tblEncounters6[[#This Row],[Age]]&lt;30,"18-29",IF(tblEncounters6[[#This Row],[Age]]&lt;45,"30-44",IF(tblEncounters6[[#This Row],[Age]]&lt;60,"45-59",IF(tblEncounters6[[#This Row],[Age]]&lt;75,"60-74","75+"))))</f>
        <v>60-74</v>
      </c>
      <c r="F33" t="s">
        <v>184</v>
      </c>
      <c r="G33" t="s">
        <v>186</v>
      </c>
      <c r="H33" t="s">
        <v>192</v>
      </c>
      <c r="I33" s="10">
        <v>46080</v>
      </c>
      <c r="J33" s="10">
        <f ca="1">tblEncounters6[[#This Row],[Admission_Date]]+RANDBETWEEN(1,12)</f>
        <v>46084</v>
      </c>
      <c r="K33">
        <f ca="1">tblEncounters6[[#This Row],[Discharge_Date]]-tblEncounters6[[#This Row],[Admission_Date]]</f>
        <v>4</v>
      </c>
      <c r="L33" s="10" t="s">
        <v>54</v>
      </c>
      <c r="M33" s="9" t="s">
        <v>194</v>
      </c>
      <c r="N33" t="s">
        <v>53</v>
      </c>
      <c r="O33" t="s">
        <v>54</v>
      </c>
      <c r="P33" t="s">
        <v>54</v>
      </c>
      <c r="Q33" t="str">
        <f>_xlfn.XLOOKUP(tblEncounters6[[#This Row],[Hospital_ID]],Table1[Hospital_ID],Table1[Hospital_Name],"Not Found")</f>
        <v>Aurora Medical Centre</v>
      </c>
      <c r="R33" t="str">
        <f>_xlfn.XLOOKUP(tblEncounters6[[#This Row],[Hospital_ID]],Table1[Hospital_ID],Table1[Country],"Not Found")</f>
        <v>Netherland</v>
      </c>
      <c r="S33" t="str">
        <f>_xlfn.XLOOKUP(tblEncounters6[[#This Row],[Hospital_ID]],Table1[Hospital_ID],Table1[FHIR_Enabled],"Not Found")</f>
        <v>Yes</v>
      </c>
    </row>
    <row r="34" spans="1:19">
      <c r="A34" t="s">
        <v>115</v>
      </c>
      <c r="B34" t="s">
        <v>165</v>
      </c>
      <c r="C34" t="s">
        <v>13</v>
      </c>
      <c r="D34">
        <v>19</v>
      </c>
      <c r="E34" t="str">
        <f>IF(tblEncounters6[[#This Row],[Age]]&lt;30,"18-29",IF(tblEncounters6[[#This Row],[Age]]&lt;45,"30-44",IF(tblEncounters6[[#This Row],[Age]]&lt;60,"45-59",IF(tblEncounters6[[#This Row],[Age]]&lt;75,"60-74","75+"))))</f>
        <v>18-29</v>
      </c>
      <c r="F34" t="s">
        <v>183</v>
      </c>
      <c r="G34" t="s">
        <v>187</v>
      </c>
      <c r="H34" t="s">
        <v>191</v>
      </c>
      <c r="I34" s="10">
        <v>46075</v>
      </c>
      <c r="J34" s="10">
        <f ca="1">tblEncounters6[[#This Row],[Admission_Date]]+RANDBETWEEN(1,12)</f>
        <v>46086</v>
      </c>
      <c r="K34">
        <f ca="1">tblEncounters6[[#This Row],[Discharge_Date]]-tblEncounters6[[#This Row],[Admission_Date]]</f>
        <v>11</v>
      </c>
      <c r="L34" s="10" t="s">
        <v>53</v>
      </c>
      <c r="M34" t="s">
        <v>195</v>
      </c>
      <c r="N34" t="s">
        <v>53</v>
      </c>
      <c r="O34" t="s">
        <v>54</v>
      </c>
      <c r="P34" t="s">
        <v>54</v>
      </c>
      <c r="Q34" t="str">
        <f>_xlfn.XLOOKUP(tblEncounters6[[#This Row],[Hospital_ID]],Table1[Hospital_ID],Table1[Hospital_Name],"Not Found")</f>
        <v>Helis General Hospital</v>
      </c>
      <c r="R34" t="str">
        <f>_xlfn.XLOOKUP(tblEncounters6[[#This Row],[Hospital_ID]],Table1[Hospital_ID],Table1[Country],"Not Found")</f>
        <v>Austria</v>
      </c>
      <c r="S34" t="str">
        <f>_xlfn.XLOOKUP(tblEncounters6[[#This Row],[Hospital_ID]],Table1[Hospital_ID],Table1[FHIR_Enabled],"Not Found")</f>
        <v>Partial</v>
      </c>
    </row>
    <row r="35" spans="1:19">
      <c r="A35" t="s">
        <v>116</v>
      </c>
      <c r="B35" t="s">
        <v>166</v>
      </c>
      <c r="C35" t="s">
        <v>14</v>
      </c>
      <c r="D35">
        <v>27</v>
      </c>
      <c r="E35" t="str">
        <f>IF(tblEncounters6[[#This Row],[Age]]&lt;30,"18-29",IF(tblEncounters6[[#This Row],[Age]]&lt;45,"30-44",IF(tblEncounters6[[#This Row],[Age]]&lt;60,"45-59",IF(tblEncounters6[[#This Row],[Age]]&lt;75,"60-74","75+"))))</f>
        <v>18-29</v>
      </c>
      <c r="F35" t="s">
        <v>184</v>
      </c>
      <c r="G35" t="s">
        <v>188</v>
      </c>
      <c r="H35" t="s">
        <v>192</v>
      </c>
      <c r="I35" s="10">
        <v>46102</v>
      </c>
      <c r="J35" s="10">
        <f ca="1">tblEncounters6[[#This Row],[Admission_Date]]+RANDBETWEEN(1,12)</f>
        <v>46113</v>
      </c>
      <c r="K35">
        <f ca="1">tblEncounters6[[#This Row],[Discharge_Date]]-tblEncounters6[[#This Row],[Admission_Date]]</f>
        <v>11</v>
      </c>
      <c r="L35" s="10" t="s">
        <v>54</v>
      </c>
      <c r="M35" s="9" t="s">
        <v>196</v>
      </c>
      <c r="N35" t="s">
        <v>53</v>
      </c>
      <c r="O35" t="s">
        <v>54</v>
      </c>
      <c r="P35" t="s">
        <v>54</v>
      </c>
      <c r="Q35" t="str">
        <f>_xlfn.XLOOKUP(tblEncounters6[[#This Row],[Hospital_ID]],Table1[Hospital_ID],Table1[Hospital_Name],"Not Found")</f>
        <v>St. Clara Medical Centre</v>
      </c>
      <c r="R35" t="str">
        <f>_xlfn.XLOOKUP(tblEncounters6[[#This Row],[Hospital_ID]],Table1[Hospital_ID],Table1[Country],"Not Found")</f>
        <v>France</v>
      </c>
      <c r="S35" t="str">
        <f>_xlfn.XLOOKUP(tblEncounters6[[#This Row],[Hospital_ID]],Table1[Hospital_ID],Table1[FHIR_Enabled],"Not Found")</f>
        <v>Yes</v>
      </c>
    </row>
    <row r="36" spans="1:19">
      <c r="A36" t="s">
        <v>117</v>
      </c>
      <c r="B36" t="s">
        <v>167</v>
      </c>
      <c r="C36" t="s">
        <v>15</v>
      </c>
      <c r="D36">
        <v>70</v>
      </c>
      <c r="E36" t="str">
        <f>IF(tblEncounters6[[#This Row],[Age]]&lt;30,"18-29",IF(tblEncounters6[[#This Row],[Age]]&lt;45,"30-44",IF(tblEncounters6[[#This Row],[Age]]&lt;60,"45-59",IF(tblEncounters6[[#This Row],[Age]]&lt;75,"60-74","75+"))))</f>
        <v>60-74</v>
      </c>
      <c r="F36" t="s">
        <v>183</v>
      </c>
      <c r="G36" t="s">
        <v>189</v>
      </c>
      <c r="H36" t="s">
        <v>191</v>
      </c>
      <c r="I36" s="10">
        <v>46095</v>
      </c>
      <c r="J36" s="10">
        <f ca="1">tblEncounters6[[#This Row],[Admission_Date]]+RANDBETWEEN(1,12)</f>
        <v>46097</v>
      </c>
      <c r="K36">
        <f ca="1">tblEncounters6[[#This Row],[Discharge_Date]]-tblEncounters6[[#This Row],[Admission_Date]]</f>
        <v>2</v>
      </c>
      <c r="L36" s="10" t="s">
        <v>54</v>
      </c>
      <c r="M36" s="9" t="s">
        <v>197</v>
      </c>
      <c r="N36" t="s">
        <v>53</v>
      </c>
      <c r="O36" t="s">
        <v>54</v>
      </c>
      <c r="P36" t="s">
        <v>54</v>
      </c>
      <c r="Q36" t="str">
        <f>_xlfn.XLOOKUP(tblEncounters6[[#This Row],[Hospital_ID]],Table1[Hospital_ID],Table1[Hospital_Name],"Not Found")</f>
        <v>Europa Health Institute</v>
      </c>
      <c r="R36" t="str">
        <f>_xlfn.XLOOKUP(tblEncounters6[[#This Row],[Hospital_ID]],Table1[Hospital_ID],Table1[Country],"Not Found")</f>
        <v xml:space="preserve">Belgium </v>
      </c>
      <c r="S36" t="str">
        <f>_xlfn.XLOOKUP(tblEncounters6[[#This Row],[Hospital_ID]],Table1[Hospital_ID],Table1[FHIR_Enabled],"Not Found")</f>
        <v>Yes</v>
      </c>
    </row>
    <row r="37" spans="1:19">
      <c r="A37" t="s">
        <v>118</v>
      </c>
      <c r="B37" t="s">
        <v>168</v>
      </c>
      <c r="C37" t="s">
        <v>16</v>
      </c>
      <c r="D37">
        <v>38</v>
      </c>
      <c r="E37" t="str">
        <f>IF(tblEncounters6[[#This Row],[Age]]&lt;30,"18-29",IF(tblEncounters6[[#This Row],[Age]]&lt;45,"30-44",IF(tblEncounters6[[#This Row],[Age]]&lt;60,"45-59",IF(tblEncounters6[[#This Row],[Age]]&lt;75,"60-74","75+"))))</f>
        <v>30-44</v>
      </c>
      <c r="F37" t="s">
        <v>184</v>
      </c>
      <c r="G37" t="s">
        <v>190</v>
      </c>
      <c r="H37" t="s">
        <v>192</v>
      </c>
      <c r="I37" s="10">
        <v>46026</v>
      </c>
      <c r="J37" s="10">
        <f ca="1">tblEncounters6[[#This Row],[Admission_Date]]+RANDBETWEEN(1,12)</f>
        <v>46031</v>
      </c>
      <c r="K37">
        <f ca="1">tblEncounters6[[#This Row],[Discharge_Date]]-tblEncounters6[[#This Row],[Admission_Date]]</f>
        <v>5</v>
      </c>
      <c r="L37" s="10" t="s">
        <v>54</v>
      </c>
      <c r="M37" s="9" t="s">
        <v>193</v>
      </c>
      <c r="N37" t="s">
        <v>53</v>
      </c>
      <c r="O37" t="s">
        <v>54</v>
      </c>
      <c r="P37" t="s">
        <v>53</v>
      </c>
      <c r="Q37" t="str">
        <f>_xlfn.XLOOKUP(tblEncounters6[[#This Row],[Hospital_ID]],Table1[Hospital_ID],Table1[Hospital_Name],"Not Found")</f>
        <v>Marbel General Hospital</v>
      </c>
      <c r="R37" t="str">
        <f>_xlfn.XLOOKUP(tblEncounters6[[#This Row],[Hospital_ID]],Table1[Hospital_ID],Table1[Country],"Not Found")</f>
        <v>Sweden</v>
      </c>
      <c r="S37" t="str">
        <f>_xlfn.XLOOKUP(tblEncounters6[[#This Row],[Hospital_ID]],Table1[Hospital_ID],Table1[FHIR_Enabled],"Not Found")</f>
        <v>Yes</v>
      </c>
    </row>
    <row r="38" spans="1:19">
      <c r="A38" t="s">
        <v>119</v>
      </c>
      <c r="B38" t="s">
        <v>169</v>
      </c>
      <c r="C38" t="s">
        <v>17</v>
      </c>
      <c r="D38">
        <v>26</v>
      </c>
      <c r="E38" t="str">
        <f>IF(tblEncounters6[[#This Row],[Age]]&lt;30,"18-29",IF(tblEncounters6[[#This Row],[Age]]&lt;45,"30-44",IF(tblEncounters6[[#This Row],[Age]]&lt;60,"45-59",IF(tblEncounters6[[#This Row],[Age]]&lt;75,"60-74","75+"))))</f>
        <v>18-29</v>
      </c>
      <c r="F38" t="s">
        <v>183</v>
      </c>
      <c r="G38" t="s">
        <v>185</v>
      </c>
      <c r="H38" t="s">
        <v>191</v>
      </c>
      <c r="I38" s="10">
        <v>46106</v>
      </c>
      <c r="J38" s="10">
        <f ca="1">tblEncounters6[[#This Row],[Admission_Date]]+RANDBETWEEN(1,12)</f>
        <v>46118</v>
      </c>
      <c r="K38">
        <f ca="1">tblEncounters6[[#This Row],[Discharge_Date]]-tblEncounters6[[#This Row],[Admission_Date]]</f>
        <v>12</v>
      </c>
      <c r="L38" s="10" t="s">
        <v>53</v>
      </c>
      <c r="M38" s="9" t="s">
        <v>194</v>
      </c>
      <c r="N38" t="s">
        <v>53</v>
      </c>
      <c r="O38" t="s">
        <v>54</v>
      </c>
      <c r="P38" t="s">
        <v>53</v>
      </c>
      <c r="Q38" t="str">
        <f>_xlfn.XLOOKUP(tblEncounters6[[#This Row],[Hospital_ID]],Table1[Hospital_ID],Table1[Hospital_Name],"Not Found")</f>
        <v>Helix Medical Centre</v>
      </c>
      <c r="R38" t="str">
        <f>_xlfn.XLOOKUP(tblEncounters6[[#This Row],[Hospital_ID]],Table1[Hospital_ID],Table1[Country],"Not Found")</f>
        <v>Denmark</v>
      </c>
      <c r="S38" t="str">
        <f>_xlfn.XLOOKUP(tblEncounters6[[#This Row],[Hospital_ID]],Table1[Hospital_ID],Table1[FHIR_Enabled],"Not Found")</f>
        <v>Partial</v>
      </c>
    </row>
    <row r="39" spans="1:19">
      <c r="A39" t="s">
        <v>120</v>
      </c>
      <c r="B39" t="s">
        <v>170</v>
      </c>
      <c r="C39" t="s">
        <v>18</v>
      </c>
      <c r="D39">
        <v>87</v>
      </c>
      <c r="E39" t="str">
        <f>IF(tblEncounters6[[#This Row],[Age]]&lt;30,"18-29",IF(tblEncounters6[[#This Row],[Age]]&lt;45,"30-44",IF(tblEncounters6[[#This Row],[Age]]&lt;60,"45-59",IF(tblEncounters6[[#This Row],[Age]]&lt;75,"60-74","75+"))))</f>
        <v>75+</v>
      </c>
      <c r="F39" t="s">
        <v>184</v>
      </c>
      <c r="G39" t="s">
        <v>186</v>
      </c>
      <c r="H39" t="s">
        <v>192</v>
      </c>
      <c r="I39" s="10">
        <v>46079</v>
      </c>
      <c r="J39" s="10">
        <f ca="1">tblEncounters6[[#This Row],[Admission_Date]]+RANDBETWEEN(1,12)</f>
        <v>46084</v>
      </c>
      <c r="K39">
        <f ca="1">tblEncounters6[[#This Row],[Discharge_Date]]-tblEncounters6[[#This Row],[Admission_Date]]</f>
        <v>5</v>
      </c>
      <c r="L39" s="10" t="s">
        <v>54</v>
      </c>
      <c r="M39" t="s">
        <v>195</v>
      </c>
      <c r="N39" t="s">
        <v>53</v>
      </c>
      <c r="O39" t="s">
        <v>54</v>
      </c>
      <c r="P39" t="s">
        <v>53</v>
      </c>
      <c r="Q39" t="str">
        <f>_xlfn.XLOOKUP(tblEncounters6[[#This Row],[Hospital_ID]],Table1[Hospital_ID],Table1[Hospital_Name],"Not Found")</f>
        <v>St.Aldric University Hospital</v>
      </c>
      <c r="R39" t="str">
        <f>_xlfn.XLOOKUP(tblEncounters6[[#This Row],[Hospital_ID]],Table1[Hospital_ID],Table1[Country],"Not Found")</f>
        <v>Finland</v>
      </c>
      <c r="S39" t="str">
        <f>_xlfn.XLOOKUP(tblEncounters6[[#This Row],[Hospital_ID]],Table1[Hospital_ID],Table1[FHIR_Enabled],"Not Found")</f>
        <v>Yes</v>
      </c>
    </row>
    <row r="40" spans="1:19">
      <c r="A40" t="s">
        <v>121</v>
      </c>
      <c r="B40" t="s">
        <v>171</v>
      </c>
      <c r="C40" t="s">
        <v>19</v>
      </c>
      <c r="D40">
        <v>67</v>
      </c>
      <c r="E40" t="str">
        <f>IF(tblEncounters6[[#This Row],[Age]]&lt;30,"18-29",IF(tblEncounters6[[#This Row],[Age]]&lt;45,"30-44",IF(tblEncounters6[[#This Row],[Age]]&lt;60,"45-59",IF(tblEncounters6[[#This Row],[Age]]&lt;75,"60-74","75+"))))</f>
        <v>60-74</v>
      </c>
      <c r="F40" t="s">
        <v>183</v>
      </c>
      <c r="G40" t="s">
        <v>187</v>
      </c>
      <c r="H40" t="s">
        <v>191</v>
      </c>
      <c r="I40" s="10">
        <v>46075</v>
      </c>
      <c r="J40" s="10">
        <f ca="1">tblEncounters6[[#This Row],[Admission_Date]]+RANDBETWEEN(1,12)</f>
        <v>46084</v>
      </c>
      <c r="K40">
        <f ca="1">tblEncounters6[[#This Row],[Discharge_Date]]-tblEncounters6[[#This Row],[Admission_Date]]</f>
        <v>9</v>
      </c>
      <c r="L40" s="10" t="s">
        <v>54</v>
      </c>
      <c r="M40" s="9" t="s">
        <v>196</v>
      </c>
      <c r="N40" t="s">
        <v>53</v>
      </c>
      <c r="O40" t="s">
        <v>54</v>
      </c>
      <c r="P40" t="s">
        <v>54</v>
      </c>
      <c r="Q40" t="str">
        <f>_xlfn.XLOOKUP(tblEncounters6[[#This Row],[Hospital_ID]],Table1[Hospital_ID],Table1[Hospital_Name],"Not Found")</f>
        <v>Clinica Santa Marisol</v>
      </c>
      <c r="R40" t="str">
        <f>_xlfn.XLOOKUP(tblEncounters6[[#This Row],[Hospital_ID]],Table1[Hospital_ID],Table1[Country],"Not Found")</f>
        <v>Spain</v>
      </c>
      <c r="S40" t="str">
        <f>_xlfn.XLOOKUP(tblEncounters6[[#This Row],[Hospital_ID]],Table1[Hospital_ID],Table1[FHIR_Enabled],"Not Found")</f>
        <v>Partial</v>
      </c>
    </row>
    <row r="41" spans="1:19">
      <c r="A41" t="s">
        <v>122</v>
      </c>
      <c r="B41" t="s">
        <v>172</v>
      </c>
      <c r="C41" t="s">
        <v>20</v>
      </c>
      <c r="D41">
        <v>64</v>
      </c>
      <c r="E41" t="str">
        <f>IF(tblEncounters6[[#This Row],[Age]]&lt;30,"18-29",IF(tblEncounters6[[#This Row],[Age]]&lt;45,"30-44",IF(tblEncounters6[[#This Row],[Age]]&lt;60,"45-59",IF(tblEncounters6[[#This Row],[Age]]&lt;75,"60-74","75+"))))</f>
        <v>60-74</v>
      </c>
      <c r="F41" t="s">
        <v>184</v>
      </c>
      <c r="G41" t="s">
        <v>188</v>
      </c>
      <c r="H41" t="s">
        <v>192</v>
      </c>
      <c r="I41" s="10">
        <v>46063</v>
      </c>
      <c r="J41" s="10">
        <f ca="1">tblEncounters6[[#This Row],[Admission_Date]]+RANDBETWEEN(1,12)</f>
        <v>46070</v>
      </c>
      <c r="K41">
        <f ca="1">tblEncounters6[[#This Row],[Discharge_Date]]-tblEncounters6[[#This Row],[Admission_Date]]</f>
        <v>7</v>
      </c>
      <c r="L41" s="10" t="s">
        <v>54</v>
      </c>
      <c r="M41" s="9" t="s">
        <v>197</v>
      </c>
      <c r="N41" t="s">
        <v>53</v>
      </c>
      <c r="O41" t="s">
        <v>54</v>
      </c>
      <c r="P41" t="s">
        <v>53</v>
      </c>
      <c r="Q41" t="str">
        <f>_xlfn.XLOOKUP(tblEncounters6[[#This Row],[Hospital_ID]],Table1[Hospital_ID],Table1[Hospital_Name],"Not Found")</f>
        <v>Nordhavan Regional Medical Centre</v>
      </c>
      <c r="R41" t="str">
        <f>_xlfn.XLOOKUP(tblEncounters6[[#This Row],[Hospital_ID]],Table1[Hospital_ID],Table1[Country],"Not Found")</f>
        <v>Italy</v>
      </c>
      <c r="S41" t="str">
        <f>_xlfn.XLOOKUP(tblEncounters6[[#This Row],[Hospital_ID]],Table1[Hospital_ID],Table1[FHIR_Enabled],"Not Found")</f>
        <v>No</v>
      </c>
    </row>
    <row r="42" spans="1:19">
      <c r="A42" t="s">
        <v>123</v>
      </c>
      <c r="B42" t="s">
        <v>173</v>
      </c>
      <c r="C42" t="s">
        <v>11</v>
      </c>
      <c r="D42">
        <v>67</v>
      </c>
      <c r="E42" t="str">
        <f>IF(tblEncounters6[[#This Row],[Age]]&lt;30,"18-29",IF(tblEncounters6[[#This Row],[Age]]&lt;45,"30-44",IF(tblEncounters6[[#This Row],[Age]]&lt;60,"45-59",IF(tblEncounters6[[#This Row],[Age]]&lt;75,"60-74","75+"))))</f>
        <v>60-74</v>
      </c>
      <c r="F42" t="s">
        <v>183</v>
      </c>
      <c r="G42" t="s">
        <v>189</v>
      </c>
      <c r="H42" t="s">
        <v>191</v>
      </c>
      <c r="I42" s="10">
        <v>46045</v>
      </c>
      <c r="J42" s="10">
        <f ca="1">tblEncounters6[[#This Row],[Admission_Date]]+RANDBETWEEN(1,12)</f>
        <v>46048</v>
      </c>
      <c r="K42">
        <f ca="1">tblEncounters6[[#This Row],[Discharge_Date]]-tblEncounters6[[#This Row],[Admission_Date]]</f>
        <v>3</v>
      </c>
      <c r="L42" s="10" t="s">
        <v>53</v>
      </c>
      <c r="M42" s="9" t="s">
        <v>193</v>
      </c>
      <c r="N42" t="s">
        <v>53</v>
      </c>
      <c r="O42" t="s">
        <v>53</v>
      </c>
      <c r="P42" t="s">
        <v>53</v>
      </c>
      <c r="Q42" t="str">
        <f>_xlfn.XLOOKUP(tblEncounters6[[#This Row],[Hospital_ID]],Table1[Hospital_ID],Table1[Hospital_Name],"Not Found")</f>
        <v>Nova Medical Centre</v>
      </c>
      <c r="R42" t="str">
        <f>_xlfn.XLOOKUP(tblEncounters6[[#This Row],[Hospital_ID]],Table1[Hospital_ID],Table1[Country],"Not Found")</f>
        <v>Germany</v>
      </c>
      <c r="S42" t="str">
        <f>_xlfn.XLOOKUP(tblEncounters6[[#This Row],[Hospital_ID]],Table1[Hospital_ID],Table1[FHIR_Enabled],"Not Found")</f>
        <v>Yes</v>
      </c>
    </row>
    <row r="43" spans="1:19">
      <c r="A43" t="s">
        <v>124</v>
      </c>
      <c r="B43" t="s">
        <v>174</v>
      </c>
      <c r="C43" t="s">
        <v>12</v>
      </c>
      <c r="D43">
        <v>24</v>
      </c>
      <c r="E43" t="str">
        <f>IF(tblEncounters6[[#This Row],[Age]]&lt;30,"18-29",IF(tblEncounters6[[#This Row],[Age]]&lt;45,"30-44",IF(tblEncounters6[[#This Row],[Age]]&lt;60,"45-59",IF(tblEncounters6[[#This Row],[Age]]&lt;75,"60-74","75+"))))</f>
        <v>18-29</v>
      </c>
      <c r="F43" t="s">
        <v>184</v>
      </c>
      <c r="G43" t="s">
        <v>190</v>
      </c>
      <c r="H43" t="s">
        <v>192</v>
      </c>
      <c r="I43" s="10">
        <v>46100</v>
      </c>
      <c r="J43" s="10">
        <f ca="1">tblEncounters6[[#This Row],[Admission_Date]]+RANDBETWEEN(1,12)</f>
        <v>46112</v>
      </c>
      <c r="K43">
        <f ca="1">tblEncounters6[[#This Row],[Discharge_Date]]-tblEncounters6[[#This Row],[Admission_Date]]</f>
        <v>12</v>
      </c>
      <c r="L43" s="10" t="s">
        <v>54</v>
      </c>
      <c r="M43" s="9" t="s">
        <v>194</v>
      </c>
      <c r="N43" t="s">
        <v>53</v>
      </c>
      <c r="O43" t="s">
        <v>54</v>
      </c>
      <c r="P43" t="s">
        <v>53</v>
      </c>
      <c r="Q43" t="str">
        <f>_xlfn.XLOOKUP(tblEncounters6[[#This Row],[Hospital_ID]],Table1[Hospital_ID],Table1[Hospital_Name],"Not Found")</f>
        <v>Aurora Medical Centre</v>
      </c>
      <c r="R43" t="str">
        <f>_xlfn.XLOOKUP(tblEncounters6[[#This Row],[Hospital_ID]],Table1[Hospital_ID],Table1[Country],"Not Found")</f>
        <v>Netherland</v>
      </c>
      <c r="S43" t="str">
        <f>_xlfn.XLOOKUP(tblEncounters6[[#This Row],[Hospital_ID]],Table1[Hospital_ID],Table1[FHIR_Enabled],"Not Found")</f>
        <v>Yes</v>
      </c>
    </row>
    <row r="44" spans="1:19">
      <c r="A44" t="s">
        <v>125</v>
      </c>
      <c r="B44" t="s">
        <v>175</v>
      </c>
      <c r="C44" t="s">
        <v>13</v>
      </c>
      <c r="D44">
        <v>80</v>
      </c>
      <c r="E44" t="str">
        <f>IF(tblEncounters6[[#This Row],[Age]]&lt;30,"18-29",IF(tblEncounters6[[#This Row],[Age]]&lt;45,"30-44",IF(tblEncounters6[[#This Row],[Age]]&lt;60,"45-59",IF(tblEncounters6[[#This Row],[Age]]&lt;75,"60-74","75+"))))</f>
        <v>75+</v>
      </c>
      <c r="F44" t="s">
        <v>183</v>
      </c>
      <c r="G44" t="s">
        <v>185</v>
      </c>
      <c r="H44" t="s">
        <v>191</v>
      </c>
      <c r="I44" s="10">
        <v>46094</v>
      </c>
      <c r="J44" s="10">
        <f ca="1">tblEncounters6[[#This Row],[Admission_Date]]+RANDBETWEEN(1,12)</f>
        <v>46102</v>
      </c>
      <c r="K44">
        <f ca="1">tblEncounters6[[#This Row],[Discharge_Date]]-tblEncounters6[[#This Row],[Admission_Date]]</f>
        <v>8</v>
      </c>
      <c r="L44" s="10" t="s">
        <v>54</v>
      </c>
      <c r="M44" t="s">
        <v>195</v>
      </c>
      <c r="N44" t="s">
        <v>53</v>
      </c>
      <c r="O44" t="s">
        <v>54</v>
      </c>
      <c r="P44" t="s">
        <v>53</v>
      </c>
      <c r="Q44" t="str">
        <f>_xlfn.XLOOKUP(tblEncounters6[[#This Row],[Hospital_ID]],Table1[Hospital_ID],Table1[Hospital_Name],"Not Found")</f>
        <v>Helis General Hospital</v>
      </c>
      <c r="R44" t="str">
        <f>_xlfn.XLOOKUP(tblEncounters6[[#This Row],[Hospital_ID]],Table1[Hospital_ID],Table1[Country],"Not Found")</f>
        <v>Austria</v>
      </c>
      <c r="S44" t="str">
        <f>_xlfn.XLOOKUP(tblEncounters6[[#This Row],[Hospital_ID]],Table1[Hospital_ID],Table1[FHIR_Enabled],"Not Found")</f>
        <v>Partial</v>
      </c>
    </row>
    <row r="45" spans="1:19">
      <c r="A45" t="s">
        <v>126</v>
      </c>
      <c r="B45" t="s">
        <v>176</v>
      </c>
      <c r="C45" t="s">
        <v>14</v>
      </c>
      <c r="D45">
        <v>73</v>
      </c>
      <c r="E45" t="str">
        <f>IF(tblEncounters6[[#This Row],[Age]]&lt;30,"18-29",IF(tblEncounters6[[#This Row],[Age]]&lt;45,"30-44",IF(tblEncounters6[[#This Row],[Age]]&lt;60,"45-59",IF(tblEncounters6[[#This Row],[Age]]&lt;75,"60-74","75+"))))</f>
        <v>60-74</v>
      </c>
      <c r="F45" t="s">
        <v>184</v>
      </c>
      <c r="G45" t="s">
        <v>186</v>
      </c>
      <c r="H45" t="s">
        <v>191</v>
      </c>
      <c r="I45" s="10">
        <v>46088</v>
      </c>
      <c r="J45" s="10">
        <f ca="1">tblEncounters6[[#This Row],[Admission_Date]]+RANDBETWEEN(1,12)</f>
        <v>46095</v>
      </c>
      <c r="K45">
        <f ca="1">tblEncounters6[[#This Row],[Discharge_Date]]-tblEncounters6[[#This Row],[Admission_Date]]</f>
        <v>7</v>
      </c>
      <c r="L45" s="10" t="s">
        <v>54</v>
      </c>
      <c r="M45" s="9" t="s">
        <v>196</v>
      </c>
      <c r="N45" t="s">
        <v>54</v>
      </c>
      <c r="O45" t="s">
        <v>54</v>
      </c>
      <c r="P45" t="s">
        <v>53</v>
      </c>
      <c r="Q45" t="str">
        <f>_xlfn.XLOOKUP(tblEncounters6[[#This Row],[Hospital_ID]],Table1[Hospital_ID],Table1[Hospital_Name],"Not Found")</f>
        <v>St. Clara Medical Centre</v>
      </c>
      <c r="R45" t="str">
        <f>_xlfn.XLOOKUP(tblEncounters6[[#This Row],[Hospital_ID]],Table1[Hospital_ID],Table1[Country],"Not Found")</f>
        <v>France</v>
      </c>
      <c r="S45" t="str">
        <f>_xlfn.XLOOKUP(tblEncounters6[[#This Row],[Hospital_ID]],Table1[Hospital_ID],Table1[FHIR_Enabled],"Not Found")</f>
        <v>Yes</v>
      </c>
    </row>
    <row r="46" spans="1:19">
      <c r="A46" t="s">
        <v>127</v>
      </c>
      <c r="B46" t="s">
        <v>177</v>
      </c>
      <c r="C46" t="s">
        <v>15</v>
      </c>
      <c r="D46">
        <v>68</v>
      </c>
      <c r="E46" t="str">
        <f>IF(tblEncounters6[[#This Row],[Age]]&lt;30,"18-29",IF(tblEncounters6[[#This Row],[Age]]&lt;45,"30-44",IF(tblEncounters6[[#This Row],[Age]]&lt;60,"45-59",IF(tblEncounters6[[#This Row],[Age]]&lt;75,"60-74","75+"))))</f>
        <v>60-74</v>
      </c>
      <c r="F46" t="s">
        <v>183</v>
      </c>
      <c r="G46" t="s">
        <v>187</v>
      </c>
      <c r="H46" t="s">
        <v>191</v>
      </c>
      <c r="I46" s="10">
        <v>46030</v>
      </c>
      <c r="J46" s="10">
        <f ca="1">tblEncounters6[[#This Row],[Admission_Date]]+RANDBETWEEN(1,12)</f>
        <v>46038</v>
      </c>
      <c r="K46">
        <f ca="1">tblEncounters6[[#This Row],[Discharge_Date]]-tblEncounters6[[#This Row],[Admission_Date]]</f>
        <v>8</v>
      </c>
      <c r="L46" s="10" t="s">
        <v>53</v>
      </c>
      <c r="M46" s="9" t="s">
        <v>197</v>
      </c>
      <c r="N46" t="s">
        <v>53</v>
      </c>
      <c r="O46" t="s">
        <v>53</v>
      </c>
      <c r="P46" t="s">
        <v>53</v>
      </c>
      <c r="Q46" t="str">
        <f>_xlfn.XLOOKUP(tblEncounters6[[#This Row],[Hospital_ID]],Table1[Hospital_ID],Table1[Hospital_Name],"Not Found")</f>
        <v>Europa Health Institute</v>
      </c>
      <c r="R46" t="str">
        <f>_xlfn.XLOOKUP(tblEncounters6[[#This Row],[Hospital_ID]],Table1[Hospital_ID],Table1[Country],"Not Found")</f>
        <v xml:space="preserve">Belgium </v>
      </c>
      <c r="S46" t="str">
        <f>_xlfn.XLOOKUP(tblEncounters6[[#This Row],[Hospital_ID]],Table1[Hospital_ID],Table1[FHIR_Enabled],"Not Found")</f>
        <v>Yes</v>
      </c>
    </row>
    <row r="47" spans="1:19">
      <c r="A47" t="s">
        <v>128</v>
      </c>
      <c r="B47" t="s">
        <v>178</v>
      </c>
      <c r="C47" t="s">
        <v>16</v>
      </c>
      <c r="D47">
        <v>34</v>
      </c>
      <c r="E47" t="str">
        <f>IF(tblEncounters6[[#This Row],[Age]]&lt;30,"18-29",IF(tblEncounters6[[#This Row],[Age]]&lt;45,"30-44",IF(tblEncounters6[[#This Row],[Age]]&lt;60,"45-59",IF(tblEncounters6[[#This Row],[Age]]&lt;75,"60-74","75+"))))</f>
        <v>30-44</v>
      </c>
      <c r="F47" t="s">
        <v>184</v>
      </c>
      <c r="G47" t="s">
        <v>188</v>
      </c>
      <c r="H47" t="s">
        <v>192</v>
      </c>
      <c r="I47" s="10">
        <v>46067</v>
      </c>
      <c r="J47" s="10">
        <f ca="1">tblEncounters6[[#This Row],[Admission_Date]]+RANDBETWEEN(1,12)</f>
        <v>46079</v>
      </c>
      <c r="K47">
        <f ca="1">tblEncounters6[[#This Row],[Discharge_Date]]-tblEncounters6[[#This Row],[Admission_Date]]</f>
        <v>12</v>
      </c>
      <c r="L47" s="10" t="s">
        <v>54</v>
      </c>
      <c r="M47" s="9" t="s">
        <v>193</v>
      </c>
      <c r="N47" t="s">
        <v>53</v>
      </c>
      <c r="O47" t="s">
        <v>54</v>
      </c>
      <c r="P47" t="s">
        <v>53</v>
      </c>
      <c r="Q47" t="str">
        <f>_xlfn.XLOOKUP(tblEncounters6[[#This Row],[Hospital_ID]],Table1[Hospital_ID],Table1[Hospital_Name],"Not Found")</f>
        <v>Marbel General Hospital</v>
      </c>
      <c r="R47" t="str">
        <f>_xlfn.XLOOKUP(tblEncounters6[[#This Row],[Hospital_ID]],Table1[Hospital_ID],Table1[Country],"Not Found")</f>
        <v>Sweden</v>
      </c>
      <c r="S47" t="str">
        <f>_xlfn.XLOOKUP(tblEncounters6[[#This Row],[Hospital_ID]],Table1[Hospital_ID],Table1[FHIR_Enabled],"Not Found")</f>
        <v>Yes</v>
      </c>
    </row>
    <row r="48" spans="1:19">
      <c r="A48" t="s">
        <v>129</v>
      </c>
      <c r="B48" t="s">
        <v>179</v>
      </c>
      <c r="C48" t="s">
        <v>17</v>
      </c>
      <c r="D48">
        <v>46</v>
      </c>
      <c r="E48" t="str">
        <f>IF(tblEncounters6[[#This Row],[Age]]&lt;30,"18-29",IF(tblEncounters6[[#This Row],[Age]]&lt;45,"30-44",IF(tblEncounters6[[#This Row],[Age]]&lt;60,"45-59",IF(tblEncounters6[[#This Row],[Age]]&lt;75,"60-74","75+"))))</f>
        <v>45-59</v>
      </c>
      <c r="F48" t="s">
        <v>183</v>
      </c>
      <c r="G48" t="s">
        <v>189</v>
      </c>
      <c r="H48" t="s">
        <v>191</v>
      </c>
      <c r="I48" s="10">
        <v>46081</v>
      </c>
      <c r="J48" s="10">
        <f ca="1">tblEncounters6[[#This Row],[Admission_Date]]+RANDBETWEEN(1,12)</f>
        <v>46086</v>
      </c>
      <c r="K48">
        <f ca="1">tblEncounters6[[#This Row],[Discharge_Date]]-tblEncounters6[[#This Row],[Admission_Date]]</f>
        <v>5</v>
      </c>
      <c r="L48" s="10" t="s">
        <v>54</v>
      </c>
      <c r="M48" s="9" t="s">
        <v>194</v>
      </c>
      <c r="N48" t="s">
        <v>53</v>
      </c>
      <c r="O48" t="s">
        <v>53</v>
      </c>
      <c r="P48" t="s">
        <v>53</v>
      </c>
      <c r="Q48" t="str">
        <f>_xlfn.XLOOKUP(tblEncounters6[[#This Row],[Hospital_ID]],Table1[Hospital_ID],Table1[Hospital_Name],"Not Found")</f>
        <v>Helix Medical Centre</v>
      </c>
      <c r="R48" t="str">
        <f>_xlfn.XLOOKUP(tblEncounters6[[#This Row],[Hospital_ID]],Table1[Hospital_ID],Table1[Country],"Not Found")</f>
        <v>Denmark</v>
      </c>
      <c r="S48" t="str">
        <f>_xlfn.XLOOKUP(tblEncounters6[[#This Row],[Hospital_ID]],Table1[Hospital_ID],Table1[FHIR_Enabled],"Not Found")</f>
        <v>Partial</v>
      </c>
    </row>
    <row r="49" spans="1:19">
      <c r="A49" t="s">
        <v>130</v>
      </c>
      <c r="B49" t="s">
        <v>180</v>
      </c>
      <c r="C49" t="s">
        <v>18</v>
      </c>
      <c r="D49">
        <v>75</v>
      </c>
      <c r="E49" t="str">
        <f>IF(tblEncounters6[[#This Row],[Age]]&lt;30,"18-29",IF(tblEncounters6[[#This Row],[Age]]&lt;45,"30-44",IF(tblEncounters6[[#This Row],[Age]]&lt;60,"45-59",IF(tblEncounters6[[#This Row],[Age]]&lt;75,"60-74","75+"))))</f>
        <v>75+</v>
      </c>
      <c r="F49" t="s">
        <v>184</v>
      </c>
      <c r="G49" t="s">
        <v>190</v>
      </c>
      <c r="H49" t="s">
        <v>191</v>
      </c>
      <c r="I49" s="10">
        <v>46088</v>
      </c>
      <c r="J49" s="10">
        <f ca="1">tblEncounters6[[#This Row],[Admission_Date]]+RANDBETWEEN(1,12)</f>
        <v>46092</v>
      </c>
      <c r="K49">
        <f ca="1">tblEncounters6[[#This Row],[Discharge_Date]]-tblEncounters6[[#This Row],[Admission_Date]]</f>
        <v>4</v>
      </c>
      <c r="L49" s="10" t="s">
        <v>54</v>
      </c>
      <c r="M49" t="s">
        <v>195</v>
      </c>
      <c r="N49" t="s">
        <v>53</v>
      </c>
      <c r="O49" t="s">
        <v>54</v>
      </c>
      <c r="P49" t="s">
        <v>53</v>
      </c>
      <c r="Q49" t="str">
        <f>_xlfn.XLOOKUP(tblEncounters6[[#This Row],[Hospital_ID]],Table1[Hospital_ID],Table1[Hospital_Name],"Not Found")</f>
        <v>St.Aldric University Hospital</v>
      </c>
      <c r="R49" t="str">
        <f>_xlfn.XLOOKUP(tblEncounters6[[#This Row],[Hospital_ID]],Table1[Hospital_ID],Table1[Country],"Not Found")</f>
        <v>Finland</v>
      </c>
      <c r="S49" t="str">
        <f>_xlfn.XLOOKUP(tblEncounters6[[#This Row],[Hospital_ID]],Table1[Hospital_ID],Table1[FHIR_Enabled],"Not Found")</f>
        <v>Yes</v>
      </c>
    </row>
    <row r="50" spans="1:19">
      <c r="A50" t="s">
        <v>131</v>
      </c>
      <c r="B50" t="s">
        <v>181</v>
      </c>
      <c r="C50" t="s">
        <v>19</v>
      </c>
      <c r="D50">
        <v>63</v>
      </c>
      <c r="E50" t="str">
        <f>IF(tblEncounters6[[#This Row],[Age]]&lt;30,"18-29",IF(tblEncounters6[[#This Row],[Age]]&lt;45,"30-44",IF(tblEncounters6[[#This Row],[Age]]&lt;60,"45-59",IF(tblEncounters6[[#This Row],[Age]]&lt;75,"60-74","75+"))))</f>
        <v>60-74</v>
      </c>
      <c r="F50" t="s">
        <v>183</v>
      </c>
      <c r="G50" t="s">
        <v>185</v>
      </c>
      <c r="H50" t="s">
        <v>191</v>
      </c>
      <c r="I50" s="10">
        <v>46052</v>
      </c>
      <c r="J50" s="10">
        <f ca="1">tblEncounters6[[#This Row],[Admission_Date]]+RANDBETWEEN(1,12)</f>
        <v>46063</v>
      </c>
      <c r="K50">
        <f ca="1">tblEncounters6[[#This Row],[Discharge_Date]]-tblEncounters6[[#This Row],[Admission_Date]]</f>
        <v>11</v>
      </c>
      <c r="L50" s="10" t="s">
        <v>54</v>
      </c>
      <c r="M50" s="9" t="s">
        <v>196</v>
      </c>
      <c r="N50" t="s">
        <v>53</v>
      </c>
      <c r="O50" t="s">
        <v>53</v>
      </c>
      <c r="P50" t="s">
        <v>53</v>
      </c>
      <c r="Q50" t="str">
        <f>_xlfn.XLOOKUP(tblEncounters6[[#This Row],[Hospital_ID]],Table1[Hospital_ID],Table1[Hospital_Name],"Not Found")</f>
        <v>Clinica Santa Marisol</v>
      </c>
      <c r="R50" t="str">
        <f>_xlfn.XLOOKUP(tblEncounters6[[#This Row],[Hospital_ID]],Table1[Hospital_ID],Table1[Country],"Not Found")</f>
        <v>Spain</v>
      </c>
      <c r="S50" t="str">
        <f>_xlfn.XLOOKUP(tblEncounters6[[#This Row],[Hospital_ID]],Table1[Hospital_ID],Table1[FHIR_Enabled],"Not Found")</f>
        <v>Partial</v>
      </c>
    </row>
    <row r="51" spans="1:19">
      <c r="A51" t="s">
        <v>132</v>
      </c>
      <c r="B51" t="s">
        <v>182</v>
      </c>
      <c r="C51" t="s">
        <v>20</v>
      </c>
      <c r="D51">
        <v>39</v>
      </c>
      <c r="E51" t="str">
        <f>IF(tblEncounters6[[#This Row],[Age]]&lt;30,"18-29",IF(tblEncounters6[[#This Row],[Age]]&lt;45,"30-44",IF(tblEncounters6[[#This Row],[Age]]&lt;60,"45-59",IF(tblEncounters6[[#This Row],[Age]]&lt;75,"60-74","75+"))))</f>
        <v>30-44</v>
      </c>
      <c r="F51" t="s">
        <v>184</v>
      </c>
      <c r="G51" t="s">
        <v>186</v>
      </c>
      <c r="H51" t="s">
        <v>191</v>
      </c>
      <c r="I51" s="10">
        <v>46035</v>
      </c>
      <c r="J51" s="10">
        <f ca="1">tblEncounters6[[#This Row],[Admission_Date]]+RANDBETWEEN(1,12)</f>
        <v>46044</v>
      </c>
      <c r="K51">
        <f ca="1">tblEncounters6[[#This Row],[Discharge_Date]]-tblEncounters6[[#This Row],[Admission_Date]]</f>
        <v>9</v>
      </c>
      <c r="L51" s="10" t="s">
        <v>54</v>
      </c>
      <c r="M51" s="9" t="s">
        <v>197</v>
      </c>
      <c r="N51" t="s">
        <v>53</v>
      </c>
      <c r="O51" t="s">
        <v>54</v>
      </c>
      <c r="P51" t="s">
        <v>53</v>
      </c>
      <c r="Q51" t="str">
        <f>_xlfn.XLOOKUP(tblEncounters6[[#This Row],[Hospital_ID]],Table1[Hospital_ID],Table1[Hospital_Name],"Not Found")</f>
        <v>Nordhavan Regional Medical Centre</v>
      </c>
      <c r="R51" t="str">
        <f>_xlfn.XLOOKUP(tblEncounters6[[#This Row],[Hospital_ID]],Table1[Hospital_ID],Table1[Country],"Not Found")</f>
        <v>Italy</v>
      </c>
      <c r="S51" t="str">
        <f>_xlfn.XLOOKUP(tblEncounters6[[#This Row],[Hospital_ID]],Table1[Hospital_ID],Table1[FHIR_Enabled],"Not Found")</f>
        <v>No</v>
      </c>
    </row>
  </sheetData>
  <dataValidations count="3">
    <dataValidation type="list" allowBlank="1" showInputMessage="1" showErrorMessage="1" sqref="H2:H51" xr:uid="{4A28CD59-B596-4D7B-ABA2-1E247EC3E543}">
      <formula1>"Emergency,Planned"</formula1>
    </dataValidation>
    <dataValidation type="list" allowBlank="1" showInputMessage="1" showErrorMessage="1" sqref="G2:G51" xr:uid="{03240EDC-20CE-4286-BA9D-BC6D26AD9E63}">
      <formula1>"General Medicine,Cardiology,Neurology,Orthopaedics,Psychiatry,General Surgery"</formula1>
    </dataValidation>
    <dataValidation type="list" allowBlank="1" showInputMessage="1" showErrorMessage="1" sqref="F2:F51" xr:uid="{95FBBA40-0F90-4A52-A121-14624463E517}">
      <formula1>$H$4:$H$5</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211B1-4B87-4B15-BF12-859FFF3CEB20}">
  <sheetPr>
    <tabColor rgb="FF660033"/>
  </sheetPr>
  <dimension ref="A1:AC51"/>
  <sheetViews>
    <sheetView topLeftCell="S1" workbookViewId="0">
      <selection activeCell="O3" sqref="O3"/>
    </sheetView>
  </sheetViews>
  <sheetFormatPr defaultRowHeight="14.4"/>
  <cols>
    <col min="1" max="1" width="14.77734375" customWidth="1"/>
    <col min="2" max="2" width="11.44140625" customWidth="1"/>
    <col min="3" max="3" width="12.5546875" customWidth="1"/>
    <col min="4" max="4" width="5.88671875" customWidth="1"/>
    <col min="5" max="5" width="11.77734375" customWidth="1"/>
    <col min="6" max="6" width="7" bestFit="1" customWidth="1"/>
    <col min="7" max="7" width="15.21875" bestFit="1" customWidth="1"/>
    <col min="8" max="9" width="16.33203125" customWidth="1"/>
    <col min="10" max="10" width="15.77734375" customWidth="1"/>
    <col min="11" max="11" width="11" customWidth="1"/>
    <col min="12" max="12" width="17.6640625" customWidth="1"/>
    <col min="13" max="13" width="21.44140625" customWidth="1"/>
    <col min="14" max="14" width="24.6640625" customWidth="1"/>
    <col min="15" max="15" width="15.21875" customWidth="1"/>
    <col min="16" max="16" width="17.77734375" customWidth="1"/>
    <col min="17" max="17" width="30" bestFit="1" customWidth="1"/>
    <col min="18" max="18" width="10.33203125" bestFit="1" customWidth="1"/>
    <col min="19" max="19" width="14.109375" bestFit="1" customWidth="1"/>
    <col min="21" max="21" width="26.44140625" bestFit="1" customWidth="1"/>
    <col min="22" max="22" width="15.21875" bestFit="1" customWidth="1"/>
    <col min="24" max="24" width="23.6640625" bestFit="1" customWidth="1"/>
    <col min="25" max="25" width="15.5546875" bestFit="1" customWidth="1"/>
    <col min="26" max="26" width="17.21875" bestFit="1" customWidth="1"/>
    <col min="27" max="27" width="13.44140625" bestFit="1" customWidth="1"/>
    <col min="28" max="28" width="19.77734375" bestFit="1" customWidth="1"/>
    <col min="29" max="29" width="19.88671875" bestFit="1" customWidth="1"/>
  </cols>
  <sheetData>
    <row r="1" spans="1:29">
      <c r="A1" s="12" t="s">
        <v>68</v>
      </c>
      <c r="B1" s="13" t="s">
        <v>69</v>
      </c>
      <c r="C1" s="13" t="s">
        <v>0</v>
      </c>
      <c r="D1" s="13" t="s">
        <v>70</v>
      </c>
      <c r="E1" s="13" t="s">
        <v>71</v>
      </c>
      <c r="F1" s="13" t="s">
        <v>72</v>
      </c>
      <c r="G1" s="13" t="s">
        <v>73</v>
      </c>
      <c r="H1" s="13" t="s">
        <v>74</v>
      </c>
      <c r="I1" s="13" t="s">
        <v>75</v>
      </c>
      <c r="J1" s="13" t="s">
        <v>76</v>
      </c>
      <c r="K1" s="13" t="s">
        <v>77</v>
      </c>
      <c r="L1" s="13" t="s">
        <v>78</v>
      </c>
      <c r="M1" s="13" t="s">
        <v>79</v>
      </c>
      <c r="N1" s="13" t="s">
        <v>80</v>
      </c>
      <c r="O1" s="13" t="s">
        <v>81</v>
      </c>
      <c r="P1" s="13" t="s">
        <v>82</v>
      </c>
      <c r="Q1" s="12" t="s">
        <v>1</v>
      </c>
      <c r="R1" s="12" t="s">
        <v>2</v>
      </c>
      <c r="S1" s="12" t="s">
        <v>198</v>
      </c>
      <c r="T1" s="6" t="s">
        <v>215</v>
      </c>
      <c r="U1" s="6" t="s">
        <v>216</v>
      </c>
      <c r="V1" s="13" t="s">
        <v>217</v>
      </c>
      <c r="W1" s="13" t="s">
        <v>221</v>
      </c>
      <c r="X1" s="6" t="s">
        <v>222</v>
      </c>
      <c r="Y1" s="6" t="s">
        <v>223</v>
      </c>
      <c r="Z1" s="6" t="s">
        <v>224</v>
      </c>
      <c r="AA1" s="6" t="s">
        <v>225</v>
      </c>
      <c r="AB1" s="6" t="s">
        <v>226</v>
      </c>
      <c r="AC1" s="6" t="s">
        <v>237</v>
      </c>
    </row>
    <row r="2" spans="1:29" hidden="1">
      <c r="A2" t="s">
        <v>83</v>
      </c>
      <c r="B2" t="s">
        <v>133</v>
      </c>
      <c r="C2" t="s">
        <v>11</v>
      </c>
      <c r="D2">
        <v>34</v>
      </c>
      <c r="E2" t="str">
        <f>IF(tblEncounters5[[#This Row],[Age]]&lt;30,"18-29",IF(tblEncounters5[[#This Row],[Age]]&lt;45,"30-44",IF(tblEncounters5[[#This Row],[Age]]&lt;60,"45-59",IF(tblEncounters5[[#This Row],[Age]]&lt;75,"60-74","75+"))))</f>
        <v>30-44</v>
      </c>
      <c r="F2" t="s">
        <v>184</v>
      </c>
      <c r="G2" t="s">
        <v>185</v>
      </c>
      <c r="H2" t="s">
        <v>191</v>
      </c>
      <c r="I2" s="10">
        <v>46074</v>
      </c>
      <c r="J2" s="10">
        <f ca="1">tblEncounters5[[#This Row],[Admission_Date]]+RANDBETWEEN(1,12)</f>
        <v>46081</v>
      </c>
      <c r="K2">
        <f ca="1">tblEncounters5[[#This Row],[Discharge_Date]]-tblEncounters5[[#This Row],[Admission_Date]]</f>
        <v>7</v>
      </c>
      <c r="L2" s="10" t="s">
        <v>53</v>
      </c>
      <c r="M2" s="9" t="s">
        <v>193</v>
      </c>
      <c r="N2" t="s">
        <v>53</v>
      </c>
      <c r="O2" t="s">
        <v>53</v>
      </c>
      <c r="P2" t="s">
        <v>53</v>
      </c>
      <c r="Q2" t="str">
        <f>_xlfn.XLOOKUP(tblEncounters5[[#This Row],[Hospital_ID]],Table1[Hospital_ID],Table1[Hospital_Name],"Not Found")</f>
        <v>Nova Medical Centre</v>
      </c>
      <c r="R2" t="str">
        <f>_xlfn.XLOOKUP(tblEncounters5[[#This Row],[Hospital_ID]],Table1[Hospital_ID],Table1[Country],"Not Found")</f>
        <v>Germany</v>
      </c>
      <c r="S2" t="str">
        <f>_xlfn.XLOOKUP(tblEncounters5[[#This Row],[Hospital_ID]],Table1[Hospital_ID],Table1[FHIR_Enabled],"Not Found")</f>
        <v>Yes</v>
      </c>
      <c r="T2" t="str">
        <f ca="1">IF(OR(tblEncounters5[[#This Row],[Age]]="",tblEncounters5[[#This Row],[Age]]&lt;18,tblEncounters5[[#This Row],[Age]]&gt;100,tblEncounters5[[#This Row],[Department]]="",tblEncounters5[[#This Row],[Documentation_Complete]]="",tblEncounters5[[#This Row],[LOS_Days]]&lt;0),"Review","OK")</f>
        <v>OK</v>
      </c>
      <c r="U2" t="str">
        <f>IF(COUNTIF(tblEncounters5[[#All],[Encounter_ID]],tblEncounters5[[#This Row],[Encounter_ID]])&gt;1,"Duplicate","Unique")</f>
        <v>Unique</v>
      </c>
      <c r="V2" t="str">
        <f>PROPER(TRIM(tblEncounters5[[#This Row],[Department]]))</f>
        <v>General Medicine</v>
      </c>
      <c r="W2" t="str">
        <f>IF(LOWER(TRIM(tblEncounters5[[#This Row],[Sex]]))="male","Male",IF(LOWER(TRIM(tblEncounters5[[#This Row],[Sex]]))="female","Female","Review"))</f>
        <v>Female</v>
      </c>
      <c r="X2" t="str">
        <f>IF(OR(LOWER(TRIM(tblEncounters5[[#This Row],[Admission_Type]]))="emergency",LOWER(TRIM(tblEncounters5[[#This Row],[Admission_Type]]))="emerg"),"Emergency",IF(LOWER(TRIM(tblEncounters5[[#This Row],[Admission_Type]]))="planned","Planned","Review"))</f>
        <v>Emergency</v>
      </c>
      <c r="Y2" t="str">
        <f ca="1">IF(tblEncounters5[[#This Row],[Discharge_Date]]="","Missing Discharge",IF(tblEncounters5[[#This Row],[Discharge_Date]]&lt;tblEncounters5[[#This Row],[Admission_Date]],"Invalid Date","OK"))</f>
        <v>OK</v>
      </c>
      <c r="Z2">
        <f ca="1">IF(OR(tblEncounters5[[#This Row],[Admission_Date]]="",tblEncounters5[[#This Row],[Discharge_Date]]=""),"",tblEncounters5[[#This Row],[Discharge_Date]]-tblEncounters5[[#This Row],[Admission_Date]])</f>
        <v>7</v>
      </c>
      <c r="AA2" t="str">
        <f ca="1">IF(tblEncounters5[[#This Row],[Calculated_LOS]]="","Missing",IF(tblEncounters5[[#This Row],[Calculated_LOS]]=tblEncounters5[[#This Row],[LOS_Days]],"Match","Mismatch"))</f>
        <v>Match</v>
      </c>
      <c r="AB2" t="str">
        <f>IF(COUNTIF(tblEncounters[Hospital_ID],tblEncounters5[[#This Row],[Hospital_ID]])=1,"Valid","Invalid")</f>
        <v>Invalid</v>
      </c>
      <c r="AC2"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3" spans="1:29">
      <c r="A3" t="s">
        <v>84</v>
      </c>
      <c r="B3" t="s">
        <v>134</v>
      </c>
      <c r="C3" t="s">
        <v>12</v>
      </c>
      <c r="D3">
        <v>72</v>
      </c>
      <c r="E3" t="str">
        <f>IF(tblEncounters5[[#This Row],[Age]]&lt;30,"18-29",IF(tblEncounters5[[#This Row],[Age]]&lt;45,"30-44",IF(tblEncounters5[[#This Row],[Age]]&lt;60,"45-59",IF(tblEncounters5[[#This Row],[Age]]&lt;75,"60-74","75+"))))</f>
        <v>60-74</v>
      </c>
      <c r="F3" t="s">
        <v>183</v>
      </c>
      <c r="H3" t="s">
        <v>192</v>
      </c>
      <c r="I3" s="10">
        <v>46109</v>
      </c>
      <c r="J3" s="10">
        <f ca="1">tblEncounters5[[#This Row],[Admission_Date]]+RANDBETWEEN(1,12)</f>
        <v>46117</v>
      </c>
      <c r="K3">
        <f ca="1">tblEncounters5[[#This Row],[Discharge_Date]]-tblEncounters5[[#This Row],[Admission_Date]]</f>
        <v>8</v>
      </c>
      <c r="L3" s="10" t="s">
        <v>54</v>
      </c>
      <c r="M3" s="9" t="s">
        <v>194</v>
      </c>
      <c r="N3" t="s">
        <v>53</v>
      </c>
      <c r="O3" t="s">
        <v>54</v>
      </c>
      <c r="P3" t="s">
        <v>54</v>
      </c>
      <c r="Q3" t="str">
        <f>_xlfn.XLOOKUP(tblEncounters5[[#This Row],[Hospital_ID]],Table1[Hospital_ID],Table1[Hospital_Name],"Not Found")</f>
        <v>Aurora Medical Centre</v>
      </c>
      <c r="R3" t="str">
        <f>_xlfn.XLOOKUP(tblEncounters5[[#This Row],[Hospital_ID]],Table1[Hospital_ID],Table1[Country],"Not Found")</f>
        <v>Netherland</v>
      </c>
      <c r="S3" t="str">
        <f>_xlfn.XLOOKUP(tblEncounters5[[#This Row],[Hospital_ID]],Table1[Hospital_ID],Table1[FHIR_Enabled],"Not Found")</f>
        <v>Yes</v>
      </c>
      <c r="T3" t="str">
        <f ca="1">IF(OR(tblEncounters5[[#This Row],[Age]]="",tblEncounters5[[#This Row],[Age]]&lt;18,tblEncounters5[[#This Row],[Age]]&gt;100,tblEncounters5[[#This Row],[Department]]="",tblEncounters5[[#This Row],[Documentation_Complete]]="",tblEncounters5[[#This Row],[LOS_Days]]&lt;0),"Review","OK")</f>
        <v>Review</v>
      </c>
      <c r="U3" t="str">
        <f>IF(COUNTIF(tblEncounters5[[#All],[Encounter_ID]],tblEncounters5[[#This Row],[Encounter_ID]])&gt;1,"Duplicate","Unique")</f>
        <v>Unique</v>
      </c>
      <c r="V3" t="str">
        <f>PROPER(TRIM(tblEncounters5[[#This Row],[Department]]))</f>
        <v/>
      </c>
      <c r="W3" t="str">
        <f>IF(LOWER(TRIM(tblEncounters5[[#This Row],[Sex]]))="male","Male",IF(LOWER(TRIM(tblEncounters5[[#This Row],[Sex]]))="female","Female","Review"))</f>
        <v>Male</v>
      </c>
      <c r="X3" t="str">
        <f>IF(OR(LOWER(TRIM(tblEncounters5[[#This Row],[Admission_Type]]))="emergency",LOWER(TRIM(tblEncounters5[[#This Row],[Admission_Type]]))="emerg"),"Emergency",IF(LOWER(TRIM(tblEncounters5[[#This Row],[Admission_Type]]))="planned","Planned","Review"))</f>
        <v>Planned</v>
      </c>
      <c r="Y3" t="str">
        <f ca="1">IF(tblEncounters5[[#This Row],[Discharge_Date]]="","Missing Discharge",IF(tblEncounters5[[#This Row],[Discharge_Date]]&lt;tblEncounters5[[#This Row],[Admission_Date]],"Invalid Date","OK"))</f>
        <v>OK</v>
      </c>
      <c r="Z3">
        <f ca="1">IF(OR(tblEncounters5[[#This Row],[Admission_Date]]="",tblEncounters5[[#This Row],[Discharge_Date]]=""),"",tblEncounters5[[#This Row],[Discharge_Date]]-tblEncounters5[[#This Row],[Admission_Date]])</f>
        <v>8</v>
      </c>
      <c r="AA3" t="str">
        <f ca="1">IF(tblEncounters5[[#This Row],[Calculated_LOS]]="","Missing",IF(tblEncounters5[[#This Row],[Calculated_LOS]]=tblEncounters5[[#This Row],[LOS_Days]],"Match","Mismatch"))</f>
        <v>Match</v>
      </c>
      <c r="AB3" t="str">
        <f>IF(COUNTIF(tblEncounters[Hospital_ID],tblEncounters5[[#This Row],[Hospital_ID]])=1,"Valid","Invalid")</f>
        <v>Invalid</v>
      </c>
      <c r="AC3" t="str">
        <f>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Missing Department</v>
      </c>
    </row>
    <row r="4" spans="1:29" hidden="1">
      <c r="A4" t="s">
        <v>85</v>
      </c>
      <c r="B4" t="s">
        <v>135</v>
      </c>
      <c r="C4" t="s">
        <v>13</v>
      </c>
      <c r="D4">
        <v>89</v>
      </c>
      <c r="E4" t="str">
        <f>IF(tblEncounters5[[#This Row],[Age]]&lt;30,"18-29",IF(tblEncounters5[[#This Row],[Age]]&lt;45,"30-44",IF(tblEncounters5[[#This Row],[Age]]&lt;60,"45-59",IF(tblEncounters5[[#This Row],[Age]]&lt;75,"60-74","75+"))))</f>
        <v>75+</v>
      </c>
      <c r="F4" t="s">
        <v>183</v>
      </c>
      <c r="G4" t="s">
        <v>218</v>
      </c>
      <c r="H4" t="s">
        <v>191</v>
      </c>
      <c r="I4" s="10">
        <v>46035</v>
      </c>
      <c r="J4" s="10">
        <f ca="1">tblEncounters5[[#This Row],[Admission_Date]]+RANDBETWEEN(1,12)</f>
        <v>46036</v>
      </c>
      <c r="K4">
        <f ca="1">tblEncounters5[[#This Row],[Discharge_Date]]-tblEncounters5[[#This Row],[Admission_Date]]</f>
        <v>1</v>
      </c>
      <c r="L4" s="10" t="s">
        <v>53</v>
      </c>
      <c r="M4" t="s">
        <v>195</v>
      </c>
      <c r="N4" t="s">
        <v>53</v>
      </c>
      <c r="O4" t="s">
        <v>54</v>
      </c>
      <c r="P4" t="s">
        <v>54</v>
      </c>
      <c r="Q4" t="str">
        <f>_xlfn.XLOOKUP(tblEncounters5[[#This Row],[Hospital_ID]],Table1[Hospital_ID],Table1[Hospital_Name],"Not Found")</f>
        <v>Helis General Hospital</v>
      </c>
      <c r="R4" t="str">
        <f>_xlfn.XLOOKUP(tblEncounters5[[#This Row],[Hospital_ID]],Table1[Hospital_ID],Table1[Country],"Not Found")</f>
        <v>Austria</v>
      </c>
      <c r="S4" t="str">
        <f>_xlfn.XLOOKUP(tblEncounters5[[#This Row],[Hospital_ID]],Table1[Hospital_ID],Table1[FHIR_Enabled],"Not Found")</f>
        <v>Partial</v>
      </c>
      <c r="T4" t="str">
        <f ca="1">IF(OR(tblEncounters5[[#This Row],[Age]]="",tblEncounters5[[#This Row],[Age]]&lt;18,tblEncounters5[[#This Row],[Age]]&gt;100,tblEncounters5[[#This Row],[Department]]="",tblEncounters5[[#This Row],[Documentation_Complete]]="",tblEncounters5[[#This Row],[LOS_Days]]&lt;0),"Review","OK")</f>
        <v>OK</v>
      </c>
      <c r="U4" t="str">
        <f>IF(COUNTIF(tblEncounters5[[#All],[Encounter_ID]],tblEncounters5[[#This Row],[Encounter_ID]])&gt;1,"Duplicate","Unique")</f>
        <v>Unique</v>
      </c>
      <c r="V4" t="str">
        <f>PROPER(TRIM(tblEncounters5[[#This Row],[Department]]))</f>
        <v>Neurology</v>
      </c>
      <c r="W4" t="str">
        <f>IF(LOWER(TRIM(tblEncounters5[[#This Row],[Sex]]))="male","Male",IF(LOWER(TRIM(tblEncounters5[[#This Row],[Sex]]))="female","Female","Review"))</f>
        <v>Male</v>
      </c>
      <c r="X4" t="str">
        <f>IF(OR(LOWER(TRIM(tblEncounters5[[#This Row],[Admission_Type]]))="emergency",LOWER(TRIM(tblEncounters5[[#This Row],[Admission_Type]]))="emerg"),"Emergency",IF(LOWER(TRIM(tblEncounters5[[#This Row],[Admission_Type]]))="planned","Planned","Review"))</f>
        <v>Emergency</v>
      </c>
      <c r="Y4" t="str">
        <f ca="1">IF(tblEncounters5[[#This Row],[Discharge_Date]]="","Missing Discharge",IF(tblEncounters5[[#This Row],[Discharge_Date]]&lt;tblEncounters5[[#This Row],[Admission_Date]],"Invalid Date","OK"))</f>
        <v>OK</v>
      </c>
      <c r="Z4">
        <f ca="1">IF(OR(tblEncounters5[[#This Row],[Admission_Date]]="",tblEncounters5[[#This Row],[Discharge_Date]]=""),"",tblEncounters5[[#This Row],[Discharge_Date]]-tblEncounters5[[#This Row],[Admission_Date]])</f>
        <v>1</v>
      </c>
      <c r="AA4" t="str">
        <f ca="1">IF(tblEncounters5[[#This Row],[Calculated_LOS]]="","Missing",IF(tblEncounters5[[#This Row],[Calculated_LOS]]=tblEncounters5[[#This Row],[LOS_Days]],"Match","Mismatch"))</f>
        <v>Match</v>
      </c>
      <c r="AB4" t="str">
        <f>IF(COUNTIF(tblEncounters[Hospital_ID],tblEncounters5[[#This Row],[Hospital_ID]])=1,"Valid","Invalid")</f>
        <v>Invalid</v>
      </c>
      <c r="AC4"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5" spans="1:29" hidden="1">
      <c r="A5" t="s">
        <v>86</v>
      </c>
      <c r="B5" t="s">
        <v>136</v>
      </c>
      <c r="C5" t="s">
        <v>14</v>
      </c>
      <c r="D5">
        <v>49</v>
      </c>
      <c r="E5" t="str">
        <f>IF(tblEncounters5[[#This Row],[Age]]&lt;30,"18-29",IF(tblEncounters5[[#This Row],[Age]]&lt;45,"30-44",IF(tblEncounters5[[#This Row],[Age]]&lt;60,"45-59",IF(tblEncounters5[[#This Row],[Age]]&lt;75,"60-74","75+"))))</f>
        <v>45-59</v>
      </c>
      <c r="F5" t="s">
        <v>184</v>
      </c>
      <c r="G5" t="s">
        <v>188</v>
      </c>
      <c r="H5" t="s">
        <v>192</v>
      </c>
      <c r="I5" s="10">
        <v>46078</v>
      </c>
      <c r="J5" s="10">
        <f ca="1">tblEncounters5[[#This Row],[Admission_Date]]+RANDBETWEEN(1,12)</f>
        <v>46089</v>
      </c>
      <c r="K5">
        <f ca="1">tblEncounters5[[#This Row],[Discharge_Date]]-tblEncounters5[[#This Row],[Admission_Date]]</f>
        <v>11</v>
      </c>
      <c r="L5" s="10" t="s">
        <v>54</v>
      </c>
      <c r="M5" s="9" t="s">
        <v>196</v>
      </c>
      <c r="N5" t="s">
        <v>53</v>
      </c>
      <c r="O5" t="s">
        <v>54</v>
      </c>
      <c r="P5" t="s">
        <v>54</v>
      </c>
      <c r="Q5" t="str">
        <f>_xlfn.XLOOKUP(tblEncounters5[[#This Row],[Hospital_ID]],Table1[Hospital_ID],Table1[Hospital_Name],"Not Found")</f>
        <v>St. Clara Medical Centre</v>
      </c>
      <c r="R5" t="str">
        <f>_xlfn.XLOOKUP(tblEncounters5[[#This Row],[Hospital_ID]],Table1[Hospital_ID],Table1[Country],"Not Found")</f>
        <v>France</v>
      </c>
      <c r="S5" t="str">
        <f>_xlfn.XLOOKUP(tblEncounters5[[#This Row],[Hospital_ID]],Table1[Hospital_ID],Table1[FHIR_Enabled],"Not Found")</f>
        <v>Yes</v>
      </c>
      <c r="T5" t="str">
        <f ca="1">IF(OR(tblEncounters5[[#This Row],[Age]]="",tblEncounters5[[#This Row],[Age]]&lt;18,tblEncounters5[[#This Row],[Age]]&gt;100,tblEncounters5[[#This Row],[Department]]="",tblEncounters5[[#This Row],[Documentation_Complete]]="",tblEncounters5[[#This Row],[LOS_Days]]&lt;0),"Review","OK")</f>
        <v>OK</v>
      </c>
      <c r="U5" t="str">
        <f>IF(COUNTIF(tblEncounters5[[#All],[Encounter_ID]],tblEncounters5[[#This Row],[Encounter_ID]])&gt;1,"Duplicate","Unique")</f>
        <v>Unique</v>
      </c>
      <c r="V5" t="str">
        <f>PROPER(TRIM(tblEncounters5[[#This Row],[Department]]))</f>
        <v>Orthopaedics</v>
      </c>
      <c r="W5" t="str">
        <f>IF(LOWER(TRIM(tblEncounters5[[#This Row],[Sex]]))="male","Male",IF(LOWER(TRIM(tblEncounters5[[#This Row],[Sex]]))="female","Female","Review"))</f>
        <v>Female</v>
      </c>
      <c r="X5" t="str">
        <f>IF(OR(LOWER(TRIM(tblEncounters5[[#This Row],[Admission_Type]]))="emergency",LOWER(TRIM(tblEncounters5[[#This Row],[Admission_Type]]))="emerg"),"Emergency",IF(LOWER(TRIM(tblEncounters5[[#This Row],[Admission_Type]]))="planned","Planned","Review"))</f>
        <v>Planned</v>
      </c>
      <c r="Y5" t="str">
        <f ca="1">IF(tblEncounters5[[#This Row],[Discharge_Date]]="","Missing Discharge",IF(tblEncounters5[[#This Row],[Discharge_Date]]&lt;tblEncounters5[[#This Row],[Admission_Date]],"Invalid Date","OK"))</f>
        <v>OK</v>
      </c>
      <c r="Z5">
        <f ca="1">IF(OR(tblEncounters5[[#This Row],[Admission_Date]]="",tblEncounters5[[#This Row],[Discharge_Date]]=""),"",tblEncounters5[[#This Row],[Discharge_Date]]-tblEncounters5[[#This Row],[Admission_Date]])</f>
        <v>11</v>
      </c>
      <c r="AA5" t="str">
        <f ca="1">IF(tblEncounters5[[#This Row],[Calculated_LOS]]="","Missing",IF(tblEncounters5[[#This Row],[Calculated_LOS]]=tblEncounters5[[#This Row],[LOS_Days]],"Match","Mismatch"))</f>
        <v>Match</v>
      </c>
      <c r="AB5" t="str">
        <f>IF(COUNTIF(tblEncounters[Hospital_ID],tblEncounters5[[#This Row],[Hospital_ID]])=1,"Valid","Invalid")</f>
        <v>Invalid</v>
      </c>
      <c r="AC5"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6" spans="1:29">
      <c r="A6" t="s">
        <v>87</v>
      </c>
      <c r="B6" t="s">
        <v>137</v>
      </c>
      <c r="C6" t="s">
        <v>15</v>
      </c>
      <c r="E6" t="str">
        <f>IF(tblEncounters5[[#This Row],[Age]]&lt;30,"18-29",IF(tblEncounters5[[#This Row],[Age]]&lt;45,"30-44",IF(tblEncounters5[[#This Row],[Age]]&lt;60,"45-59",IF(tblEncounters5[[#This Row],[Age]]&lt;75,"60-74","75+"))))</f>
        <v>18-29</v>
      </c>
      <c r="F6" t="s">
        <v>210</v>
      </c>
      <c r="G6" t="s">
        <v>189</v>
      </c>
      <c r="H6" t="s">
        <v>191</v>
      </c>
      <c r="I6" s="10">
        <v>46050</v>
      </c>
      <c r="J6" s="10">
        <f ca="1">tblEncounters5[[#This Row],[Admission_Date]]+RANDBETWEEN(1,12)</f>
        <v>46053</v>
      </c>
      <c r="K6">
        <f ca="1">tblEncounters5[[#This Row],[Discharge_Date]]-tblEncounters5[[#This Row],[Admission_Date]]</f>
        <v>3</v>
      </c>
      <c r="L6" s="10" t="s">
        <v>54</v>
      </c>
      <c r="M6" s="9" t="s">
        <v>197</v>
      </c>
      <c r="N6" t="s">
        <v>53</v>
      </c>
      <c r="O6" t="s">
        <v>54</v>
      </c>
      <c r="P6" t="s">
        <v>53</v>
      </c>
      <c r="Q6" t="str">
        <f>_xlfn.XLOOKUP(tblEncounters5[[#This Row],[Hospital_ID]],Table1[Hospital_ID],Table1[Hospital_Name],"Not Found")</f>
        <v>Europa Health Institute</v>
      </c>
      <c r="R6" t="str">
        <f>_xlfn.XLOOKUP(tblEncounters5[[#This Row],[Hospital_ID]],Table1[Hospital_ID],Table1[Country],"Not Found")</f>
        <v xml:space="preserve">Belgium </v>
      </c>
      <c r="S6" t="str">
        <f>_xlfn.XLOOKUP(tblEncounters5[[#This Row],[Hospital_ID]],Table1[Hospital_ID],Table1[FHIR_Enabled],"Not Found")</f>
        <v>Yes</v>
      </c>
      <c r="T6" t="str">
        <f ca="1">IF(OR(tblEncounters5[[#This Row],[Age]]="",tblEncounters5[[#This Row],[Age]]&lt;18,tblEncounters5[[#This Row],[Age]]&gt;100,tblEncounters5[[#This Row],[Department]]="",tblEncounters5[[#This Row],[Documentation_Complete]]="",tblEncounters5[[#This Row],[LOS_Days]]&lt;0),"Review","OK")</f>
        <v>Review</v>
      </c>
      <c r="U6" t="str">
        <f>IF(COUNTIF(tblEncounters5[[#All],[Encounter_ID]],tblEncounters5[[#This Row],[Encounter_ID]])&gt;1,"Duplicate","Unique")</f>
        <v>Unique</v>
      </c>
      <c r="V6" t="str">
        <f>PROPER(TRIM(tblEncounters5[[#This Row],[Department]]))</f>
        <v>Psychiatry</v>
      </c>
      <c r="W6" t="str">
        <f>IF(LOWER(TRIM(tblEncounters5[[#This Row],[Sex]]))="male","Male",IF(LOWER(TRIM(tblEncounters5[[#This Row],[Sex]]))="female","Female","Review"))</f>
        <v>Male</v>
      </c>
      <c r="X6" t="str">
        <f>IF(OR(LOWER(TRIM(tblEncounters5[[#This Row],[Admission_Type]]))="emergency",LOWER(TRIM(tblEncounters5[[#This Row],[Admission_Type]]))="emerg"),"Emergency",IF(LOWER(TRIM(tblEncounters5[[#This Row],[Admission_Type]]))="planned","Planned","Review"))</f>
        <v>Emergency</v>
      </c>
      <c r="Y6" t="str">
        <f ca="1">IF(tblEncounters5[[#This Row],[Discharge_Date]]="","Missing Discharge",IF(tblEncounters5[[#This Row],[Discharge_Date]]&lt;tblEncounters5[[#This Row],[Admission_Date]],"Invalid Date","OK"))</f>
        <v>OK</v>
      </c>
      <c r="Z6">
        <f ca="1">IF(OR(tblEncounters5[[#This Row],[Admission_Date]]="",tblEncounters5[[#This Row],[Discharge_Date]]=""),"",tblEncounters5[[#This Row],[Discharge_Date]]-tblEncounters5[[#This Row],[Admission_Date]])</f>
        <v>3</v>
      </c>
      <c r="AA6" t="str">
        <f ca="1">IF(tblEncounters5[[#This Row],[Calculated_LOS]]="","Missing",IF(tblEncounters5[[#This Row],[Calculated_LOS]]=tblEncounters5[[#This Row],[LOS_Days]],"Match","Mismatch"))</f>
        <v>Match</v>
      </c>
      <c r="AB6" t="str">
        <f>IF(COUNTIF(tblEncounters[Hospital_ID],tblEncounters5[[#This Row],[Hospital_ID]])=1,"Valid","Invalid")</f>
        <v>Invalid</v>
      </c>
      <c r="AC6" t="str">
        <f>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Missing Age</v>
      </c>
    </row>
    <row r="7" spans="1:29" hidden="1">
      <c r="A7" t="s">
        <v>88</v>
      </c>
      <c r="B7" t="s">
        <v>138</v>
      </c>
      <c r="C7" t="s">
        <v>16</v>
      </c>
      <c r="D7">
        <v>37</v>
      </c>
      <c r="E7" t="str">
        <f>IF(tblEncounters5[[#This Row],[Age]]&lt;30,"18-29",IF(tblEncounters5[[#This Row],[Age]]&lt;45,"30-44",IF(tblEncounters5[[#This Row],[Age]]&lt;60,"45-59",IF(tblEncounters5[[#This Row],[Age]]&lt;75,"60-74","75+"))))</f>
        <v>30-44</v>
      </c>
      <c r="F7" t="s">
        <v>184</v>
      </c>
      <c r="G7" t="s">
        <v>219</v>
      </c>
      <c r="H7" t="s">
        <v>192</v>
      </c>
      <c r="I7" s="10">
        <v>46112</v>
      </c>
      <c r="J7" s="10">
        <f ca="1">tblEncounters5[[#This Row],[Admission_Date]]+RANDBETWEEN(1,12)</f>
        <v>46120</v>
      </c>
      <c r="K7">
        <f ca="1">tblEncounters5[[#This Row],[Discharge_Date]]-tblEncounters5[[#This Row],[Admission_Date]]</f>
        <v>8</v>
      </c>
      <c r="L7" s="10" t="s">
        <v>54</v>
      </c>
      <c r="M7" s="9" t="s">
        <v>193</v>
      </c>
      <c r="N7" t="s">
        <v>53</v>
      </c>
      <c r="O7" t="s">
        <v>54</v>
      </c>
      <c r="P7" t="s">
        <v>53</v>
      </c>
      <c r="Q7" t="str">
        <f>_xlfn.XLOOKUP(tblEncounters5[[#This Row],[Hospital_ID]],Table1[Hospital_ID],Table1[Hospital_Name],"Not Found")</f>
        <v>Marbel General Hospital</v>
      </c>
      <c r="R7" t="str">
        <f>_xlfn.XLOOKUP(tblEncounters5[[#This Row],[Hospital_ID]],Table1[Hospital_ID],Table1[Country],"Not Found")</f>
        <v>Sweden</v>
      </c>
      <c r="S7" t="str">
        <f>_xlfn.XLOOKUP(tblEncounters5[[#This Row],[Hospital_ID]],Table1[Hospital_ID],Table1[FHIR_Enabled],"Not Found")</f>
        <v>Yes</v>
      </c>
      <c r="T7" t="str">
        <f ca="1">IF(OR(tblEncounters5[[#This Row],[Age]]="",tblEncounters5[[#This Row],[Age]]&lt;18,tblEncounters5[[#This Row],[Age]]&gt;100,tblEncounters5[[#This Row],[Department]]="",tblEncounters5[[#This Row],[Documentation_Complete]]="",tblEncounters5[[#This Row],[LOS_Days]]&lt;0),"Review","OK")</f>
        <v>OK</v>
      </c>
      <c r="U7" t="str">
        <f>IF(COUNTIF(tblEncounters5[[#All],[Encounter_ID]],tblEncounters5[[#This Row],[Encounter_ID]])&gt;1,"Duplicate","Unique")</f>
        <v>Unique</v>
      </c>
      <c r="V7" t="str">
        <f>PROPER(TRIM(tblEncounters5[[#This Row],[Department]]))</f>
        <v>General Surgery</v>
      </c>
      <c r="W7" t="str">
        <f>IF(LOWER(TRIM(tblEncounters5[[#This Row],[Sex]]))="male","Male",IF(LOWER(TRIM(tblEncounters5[[#This Row],[Sex]]))="female","Female","Review"))</f>
        <v>Female</v>
      </c>
      <c r="X7" t="str">
        <f>IF(OR(LOWER(TRIM(tblEncounters5[[#This Row],[Admission_Type]]))="emergency",LOWER(TRIM(tblEncounters5[[#This Row],[Admission_Type]]))="emerg"),"Emergency",IF(LOWER(TRIM(tblEncounters5[[#This Row],[Admission_Type]]))="planned","Planned","Review"))</f>
        <v>Planned</v>
      </c>
      <c r="Y7" t="str">
        <f ca="1">IF(tblEncounters5[[#This Row],[Discharge_Date]]="","Missing Discharge",IF(tblEncounters5[[#This Row],[Discharge_Date]]&lt;tblEncounters5[[#This Row],[Admission_Date]],"Invalid Date","OK"))</f>
        <v>OK</v>
      </c>
      <c r="Z7">
        <f ca="1">IF(OR(tblEncounters5[[#This Row],[Admission_Date]]="",tblEncounters5[[#This Row],[Discharge_Date]]=""),"",tblEncounters5[[#This Row],[Discharge_Date]]-tblEncounters5[[#This Row],[Admission_Date]])</f>
        <v>8</v>
      </c>
      <c r="AA7" t="str">
        <f ca="1">IF(tblEncounters5[[#This Row],[Calculated_LOS]]="","Missing",IF(tblEncounters5[[#This Row],[Calculated_LOS]]=tblEncounters5[[#This Row],[LOS_Days]],"Match","Mismatch"))</f>
        <v>Match</v>
      </c>
      <c r="AB7" t="str">
        <f>IF(COUNTIF(tblEncounters[Hospital_ID],tblEncounters5[[#This Row],[Hospital_ID]])=1,"Valid","Invalid")</f>
        <v>Invalid</v>
      </c>
      <c r="AC7"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8" spans="1:29">
      <c r="A8" t="s">
        <v>89</v>
      </c>
      <c r="B8" t="s">
        <v>139</v>
      </c>
      <c r="C8" t="s">
        <v>17</v>
      </c>
      <c r="D8">
        <v>65</v>
      </c>
      <c r="E8" t="str">
        <f>IF(tblEncounters5[[#This Row],[Age]]&lt;30,"18-29",IF(tblEncounters5[[#This Row],[Age]]&lt;45,"30-44",IF(tblEncounters5[[#This Row],[Age]]&lt;60,"45-59",IF(tblEncounters5[[#This Row],[Age]]&lt;75,"60-74","75+"))))</f>
        <v>60-74</v>
      </c>
      <c r="F8" t="s">
        <v>184</v>
      </c>
      <c r="G8" t="s">
        <v>213</v>
      </c>
      <c r="H8" t="s">
        <v>191</v>
      </c>
      <c r="I8" s="10">
        <v>46035</v>
      </c>
      <c r="J8" s="10">
        <f ca="1">tblEncounters5[[#This Row],[Admission_Date]]+RANDBETWEEN(1,12)</f>
        <v>46043</v>
      </c>
      <c r="K8">
        <f ca="1">tblEncounters5[[#This Row],[Discharge_Date]]-tblEncounters5[[#This Row],[Admission_Date]]</f>
        <v>8</v>
      </c>
      <c r="L8" s="10" t="s">
        <v>54</v>
      </c>
      <c r="M8" s="9" t="s">
        <v>194</v>
      </c>
      <c r="O8" t="s">
        <v>53</v>
      </c>
      <c r="P8" t="s">
        <v>54</v>
      </c>
      <c r="Q8" t="str">
        <f>_xlfn.XLOOKUP(tblEncounters5[[#This Row],[Hospital_ID]],Table1[Hospital_ID],Table1[Hospital_Name],"Not Found")</f>
        <v>Helix Medical Centre</v>
      </c>
      <c r="R8" t="str">
        <f>_xlfn.XLOOKUP(tblEncounters5[[#This Row],[Hospital_ID]],Table1[Hospital_ID],Table1[Country],"Not Found")</f>
        <v>Denmark</v>
      </c>
      <c r="S8" t="str">
        <f>_xlfn.XLOOKUP(tblEncounters5[[#This Row],[Hospital_ID]],Table1[Hospital_ID],Table1[FHIR_Enabled],"Not Found")</f>
        <v>Partial</v>
      </c>
      <c r="T8" t="str">
        <f ca="1">IF(OR(tblEncounters5[[#This Row],[Age]]="",tblEncounters5[[#This Row],[Age]]&lt;18,tblEncounters5[[#This Row],[Age]]&gt;100,tblEncounters5[[#This Row],[Department]]="",tblEncounters5[[#This Row],[Documentation_Complete]]="",tblEncounters5[[#This Row],[LOS_Days]]&lt;0),"Review","OK")</f>
        <v>Review</v>
      </c>
      <c r="U8" t="str">
        <f>IF(COUNTIF(tblEncounters5[[#All],[Encounter_ID]],tblEncounters5[[#This Row],[Encounter_ID]])&gt;1,"Duplicate","Unique")</f>
        <v>Unique</v>
      </c>
      <c r="V8" t="str">
        <f>PROPER(TRIM(tblEncounters5[[#This Row],[Department]]))</f>
        <v>Gen Medicine</v>
      </c>
      <c r="W8" t="str">
        <f>IF(LOWER(TRIM(tblEncounters5[[#This Row],[Sex]]))="male","Male",IF(LOWER(TRIM(tblEncounters5[[#This Row],[Sex]]))="female","Female","Review"))</f>
        <v>Female</v>
      </c>
      <c r="X8" t="str">
        <f>IF(OR(LOWER(TRIM(tblEncounters5[[#This Row],[Admission_Type]]))="emergency",LOWER(TRIM(tblEncounters5[[#This Row],[Admission_Type]]))="emerg"),"Emergency",IF(LOWER(TRIM(tblEncounters5[[#This Row],[Admission_Type]]))="planned","Planned","Review"))</f>
        <v>Emergency</v>
      </c>
      <c r="Y8" t="str">
        <f ca="1">IF(tblEncounters5[[#This Row],[Discharge_Date]]="","Missing Discharge",IF(tblEncounters5[[#This Row],[Discharge_Date]]&lt;tblEncounters5[[#This Row],[Admission_Date]],"Invalid Date","OK"))</f>
        <v>OK</v>
      </c>
      <c r="Z8">
        <f ca="1">IF(OR(tblEncounters5[[#This Row],[Admission_Date]]="",tblEncounters5[[#This Row],[Discharge_Date]]=""),"",tblEncounters5[[#This Row],[Discharge_Date]]-tblEncounters5[[#This Row],[Admission_Date]])</f>
        <v>8</v>
      </c>
      <c r="AA8" t="str">
        <f ca="1">IF(tblEncounters5[[#This Row],[Calculated_LOS]]="","Missing",IF(tblEncounters5[[#This Row],[Calculated_LOS]]=tblEncounters5[[#This Row],[LOS_Days]],"Match","Mismatch"))</f>
        <v>Match</v>
      </c>
      <c r="AB8" t="str">
        <f>IF(COUNTIF(tblEncounters[Hospital_ID],tblEncounters5[[#This Row],[Hospital_ID]])=1,"Valid","Invalid")</f>
        <v>Invalid</v>
      </c>
      <c r="AC8" t="str">
        <f>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Missing Documentation</v>
      </c>
    </row>
    <row r="9" spans="1:29" hidden="1">
      <c r="A9" t="s">
        <v>90</v>
      </c>
      <c r="B9" t="s">
        <v>140</v>
      </c>
      <c r="C9" t="s">
        <v>18</v>
      </c>
      <c r="D9">
        <v>44</v>
      </c>
      <c r="E9" t="str">
        <f>IF(tblEncounters5[[#This Row],[Age]]&lt;30,"18-29",IF(tblEncounters5[[#This Row],[Age]]&lt;45,"30-44",IF(tblEncounters5[[#This Row],[Age]]&lt;60,"45-59",IF(tblEncounters5[[#This Row],[Age]]&lt;75,"60-74","75+"))))</f>
        <v>30-44</v>
      </c>
      <c r="F9" t="s">
        <v>183</v>
      </c>
      <c r="G9" t="s">
        <v>186</v>
      </c>
      <c r="H9" t="s">
        <v>192</v>
      </c>
      <c r="I9" s="10">
        <v>46075</v>
      </c>
      <c r="J9" s="10">
        <f ca="1">tblEncounters5[[#This Row],[Admission_Date]]+RANDBETWEEN(1,12)</f>
        <v>46080</v>
      </c>
      <c r="K9">
        <f ca="1">tblEncounters5[[#This Row],[Discharge_Date]]-tblEncounters5[[#This Row],[Admission_Date]]</f>
        <v>5</v>
      </c>
      <c r="L9" s="10" t="s">
        <v>54</v>
      </c>
      <c r="M9" t="s">
        <v>195</v>
      </c>
      <c r="N9" t="s">
        <v>53</v>
      </c>
      <c r="O9" t="s">
        <v>54</v>
      </c>
      <c r="P9" t="s">
        <v>53</v>
      </c>
      <c r="Q9" t="str">
        <f>_xlfn.XLOOKUP(tblEncounters5[[#This Row],[Hospital_ID]],Table1[Hospital_ID],Table1[Hospital_Name],"Not Found")</f>
        <v>St.Aldric University Hospital</v>
      </c>
      <c r="R9" t="str">
        <f>_xlfn.XLOOKUP(tblEncounters5[[#This Row],[Hospital_ID]],Table1[Hospital_ID],Table1[Country],"Not Found")</f>
        <v>Finland</v>
      </c>
      <c r="S9" t="str">
        <f>_xlfn.XLOOKUP(tblEncounters5[[#This Row],[Hospital_ID]],Table1[Hospital_ID],Table1[FHIR_Enabled],"Not Found")</f>
        <v>Yes</v>
      </c>
      <c r="T9" t="str">
        <f ca="1">IF(OR(tblEncounters5[[#This Row],[Age]]="",tblEncounters5[[#This Row],[Age]]&lt;18,tblEncounters5[[#This Row],[Age]]&gt;100,tblEncounters5[[#This Row],[Department]]="",tblEncounters5[[#This Row],[Documentation_Complete]]="",tblEncounters5[[#This Row],[LOS_Days]]&lt;0),"Review","OK")</f>
        <v>OK</v>
      </c>
      <c r="U9" t="str">
        <f>IF(COUNTIF(tblEncounters5[[#All],[Encounter_ID]],tblEncounters5[[#This Row],[Encounter_ID]])&gt;1,"Duplicate","Unique")</f>
        <v>Unique</v>
      </c>
      <c r="V9" t="str">
        <f>PROPER(TRIM(tblEncounters5[[#This Row],[Department]]))</f>
        <v>Cardiology</v>
      </c>
      <c r="W9" t="str">
        <f>IF(LOWER(TRIM(tblEncounters5[[#This Row],[Sex]]))="male","Male",IF(LOWER(TRIM(tblEncounters5[[#This Row],[Sex]]))="female","Female","Review"))</f>
        <v>Male</v>
      </c>
      <c r="X9" t="str">
        <f>IF(OR(LOWER(TRIM(tblEncounters5[[#This Row],[Admission_Type]]))="emergency",LOWER(TRIM(tblEncounters5[[#This Row],[Admission_Type]]))="emerg"),"Emergency",IF(LOWER(TRIM(tblEncounters5[[#This Row],[Admission_Type]]))="planned","Planned","Review"))</f>
        <v>Planned</v>
      </c>
      <c r="Y9" t="str">
        <f ca="1">IF(tblEncounters5[[#This Row],[Discharge_Date]]="","Missing Discharge",IF(tblEncounters5[[#This Row],[Discharge_Date]]&lt;tblEncounters5[[#This Row],[Admission_Date]],"Invalid Date","OK"))</f>
        <v>OK</v>
      </c>
      <c r="Z9">
        <f ca="1">IF(OR(tblEncounters5[[#This Row],[Admission_Date]]="",tblEncounters5[[#This Row],[Discharge_Date]]=""),"",tblEncounters5[[#This Row],[Discharge_Date]]-tblEncounters5[[#This Row],[Admission_Date]])</f>
        <v>5</v>
      </c>
      <c r="AA9" t="str">
        <f ca="1">IF(tblEncounters5[[#This Row],[Calculated_LOS]]="","Missing",IF(tblEncounters5[[#This Row],[Calculated_LOS]]=tblEncounters5[[#This Row],[LOS_Days]],"Match","Mismatch"))</f>
        <v>Match</v>
      </c>
      <c r="AB9" t="str">
        <f>IF(COUNTIF(tblEncounters[Hospital_ID],tblEncounters5[[#This Row],[Hospital_ID]])=1,"Valid","Invalid")</f>
        <v>Invalid</v>
      </c>
      <c r="AC9"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10" spans="1:29">
      <c r="A10" t="s">
        <v>91</v>
      </c>
      <c r="B10" t="s">
        <v>141</v>
      </c>
      <c r="C10" t="s">
        <v>19</v>
      </c>
      <c r="D10">
        <v>37</v>
      </c>
      <c r="E10" t="str">
        <f>IF(tblEncounters5[[#This Row],[Age]]&lt;30,"18-29",IF(tblEncounters5[[#This Row],[Age]]&lt;45,"30-44",IF(tblEncounters5[[#This Row],[Age]]&lt;60,"45-59",IF(tblEncounters5[[#This Row],[Age]]&lt;75,"60-74","75+"))))</f>
        <v>30-44</v>
      </c>
      <c r="F10" t="s">
        <v>184</v>
      </c>
      <c r="G10" t="s">
        <v>187</v>
      </c>
      <c r="H10" t="s">
        <v>191</v>
      </c>
      <c r="I10" s="10">
        <v>46057</v>
      </c>
      <c r="J10" s="10"/>
      <c r="K10">
        <f>tblEncounters5[[#This Row],[Discharge_Date]]-tblEncounters5[[#This Row],[Admission_Date]]</f>
        <v>-46057</v>
      </c>
      <c r="L10" s="10" t="s">
        <v>53</v>
      </c>
      <c r="M10" s="9" t="s">
        <v>196</v>
      </c>
      <c r="N10" t="s">
        <v>53</v>
      </c>
      <c r="O10" t="s">
        <v>54</v>
      </c>
      <c r="P10" t="s">
        <v>54</v>
      </c>
      <c r="Q10" t="str">
        <f>_xlfn.XLOOKUP(tblEncounters5[[#This Row],[Hospital_ID]],Table1[Hospital_ID],Table1[Hospital_Name],"Not Found")</f>
        <v>Clinica Santa Marisol</v>
      </c>
      <c r="R10" t="str">
        <f>_xlfn.XLOOKUP(tblEncounters5[[#This Row],[Hospital_ID]],Table1[Hospital_ID],Table1[Country],"Not Found")</f>
        <v>Spain</v>
      </c>
      <c r="S10" t="str">
        <f>_xlfn.XLOOKUP(tblEncounters5[[#This Row],[Hospital_ID]],Table1[Hospital_ID],Table1[FHIR_Enabled],"Not Found")</f>
        <v>Partial</v>
      </c>
      <c r="T10" t="str">
        <f>IF(OR(tblEncounters5[[#This Row],[Age]]="",tblEncounters5[[#This Row],[Age]]&lt;18,tblEncounters5[[#This Row],[Age]]&gt;100,tblEncounters5[[#This Row],[Department]]="",tblEncounters5[[#This Row],[Documentation_Complete]]="",tblEncounters5[[#This Row],[LOS_Days]]&lt;0),"Review","OK")</f>
        <v>Review</v>
      </c>
      <c r="U10" t="str">
        <f>IF(COUNTIF(tblEncounters5[[#All],[Encounter_ID]],tblEncounters5[[#This Row],[Encounter_ID]])&gt;1,"Duplicate","Unique")</f>
        <v>Unique</v>
      </c>
      <c r="V10" t="str">
        <f>PROPER(TRIM(tblEncounters5[[#This Row],[Department]]))</f>
        <v>Neurology</v>
      </c>
      <c r="W10" t="str">
        <f>IF(LOWER(TRIM(tblEncounters5[[#This Row],[Sex]]))="male","Male",IF(LOWER(TRIM(tblEncounters5[[#This Row],[Sex]]))="female","Female","Review"))</f>
        <v>Female</v>
      </c>
      <c r="X10" t="str">
        <f>IF(OR(LOWER(TRIM(tblEncounters5[[#This Row],[Admission_Type]]))="emergency",LOWER(TRIM(tblEncounters5[[#This Row],[Admission_Type]]))="emerg"),"Emergency",IF(LOWER(TRIM(tblEncounters5[[#This Row],[Admission_Type]]))="planned","Planned","Review"))</f>
        <v>Emergency</v>
      </c>
      <c r="Y10" t="str">
        <f>IF(tblEncounters5[[#This Row],[Discharge_Date]]="","Missing Discharge",IF(tblEncounters5[[#This Row],[Discharge_Date]]&lt;tblEncounters5[[#This Row],[Admission_Date]],"Invalid Date","OK"))</f>
        <v>Missing Discharge</v>
      </c>
      <c r="Z10" t="str">
        <f>IF(OR(tblEncounters5[[#This Row],[Admission_Date]]="",tblEncounters5[[#This Row],[Discharge_Date]]=""),"",tblEncounters5[[#This Row],[Discharge_Date]]-tblEncounters5[[#This Row],[Admission_Date]])</f>
        <v/>
      </c>
      <c r="AA10" t="str">
        <f>IF(tblEncounters5[[#This Row],[Calculated_LOS]]="","Missing",IF(tblEncounters5[[#This Row],[Calculated_LOS]]=tblEncounters5[[#This Row],[LOS_Days]],"Match","Mismatch"))</f>
        <v>Missing</v>
      </c>
      <c r="AB10" t="str">
        <f>IF(COUNTIF(tblEncounters[Hospital_ID],tblEncounters5[[#This Row],[Hospital_ID]])=1,"Valid","Invalid")</f>
        <v>Invalid</v>
      </c>
      <c r="AC10" t="str">
        <f>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Invalid LOS</v>
      </c>
    </row>
    <row r="11" spans="1:29" hidden="1">
      <c r="A11" t="s">
        <v>92</v>
      </c>
      <c r="B11" t="s">
        <v>142</v>
      </c>
      <c r="C11" t="s">
        <v>20</v>
      </c>
      <c r="D11">
        <v>39</v>
      </c>
      <c r="E11" t="str">
        <f>IF(tblEncounters5[[#This Row],[Age]]&lt;30,"18-29",IF(tblEncounters5[[#This Row],[Age]]&lt;45,"30-44",IF(tblEncounters5[[#This Row],[Age]]&lt;60,"45-59",IF(tblEncounters5[[#This Row],[Age]]&lt;75,"60-74","75+"))))</f>
        <v>30-44</v>
      </c>
      <c r="F11" t="s">
        <v>183</v>
      </c>
      <c r="G11" t="s">
        <v>188</v>
      </c>
      <c r="H11" t="s">
        <v>191</v>
      </c>
      <c r="I11" s="10">
        <v>46105</v>
      </c>
      <c r="J11" s="10">
        <f ca="1">tblEncounters5[[#This Row],[Admission_Date]]+RANDBETWEEN(1,12)</f>
        <v>46107</v>
      </c>
      <c r="K11">
        <f ca="1">tblEncounters5[[#This Row],[Discharge_Date]]-tblEncounters5[[#This Row],[Admission_Date]]</f>
        <v>2</v>
      </c>
      <c r="L11" s="10" t="s">
        <v>54</v>
      </c>
      <c r="M11" s="9" t="s">
        <v>197</v>
      </c>
      <c r="N11" t="s">
        <v>54</v>
      </c>
      <c r="O11" t="s">
        <v>54</v>
      </c>
      <c r="P11" t="s">
        <v>54</v>
      </c>
      <c r="Q11" t="str">
        <f>_xlfn.XLOOKUP(tblEncounters5[[#This Row],[Hospital_ID]],Table1[Hospital_ID],Table1[Hospital_Name],"Not Found")</f>
        <v>Nordhavan Regional Medical Centre</v>
      </c>
      <c r="R11" t="str">
        <f>_xlfn.XLOOKUP(tblEncounters5[[#This Row],[Hospital_ID]],Table1[Hospital_ID],Table1[Country],"Not Found")</f>
        <v>Italy</v>
      </c>
      <c r="S11" t="str">
        <f>_xlfn.XLOOKUP(tblEncounters5[[#This Row],[Hospital_ID]],Table1[Hospital_ID],Table1[FHIR_Enabled],"Not Found")</f>
        <v>No</v>
      </c>
      <c r="T11" t="str">
        <f ca="1">IF(OR(tblEncounters5[[#This Row],[Age]]="",tblEncounters5[[#This Row],[Age]]&lt;18,tblEncounters5[[#This Row],[Age]]&gt;100,tblEncounters5[[#This Row],[Department]]="",tblEncounters5[[#This Row],[Documentation_Complete]]="",tblEncounters5[[#This Row],[LOS_Days]]&lt;0),"Review","OK")</f>
        <v>OK</v>
      </c>
      <c r="U11" t="str">
        <f>IF(COUNTIF(tblEncounters5[[#All],[Encounter_ID]],tblEncounters5[[#This Row],[Encounter_ID]])&gt;1,"Duplicate","Unique")</f>
        <v>Unique</v>
      </c>
      <c r="V11" t="str">
        <f>PROPER(TRIM(tblEncounters5[[#This Row],[Department]]))</f>
        <v>Orthopaedics</v>
      </c>
      <c r="W11" t="str">
        <f>IF(LOWER(TRIM(tblEncounters5[[#This Row],[Sex]]))="male","Male",IF(LOWER(TRIM(tblEncounters5[[#This Row],[Sex]]))="female","Female","Review"))</f>
        <v>Male</v>
      </c>
      <c r="X11" t="str">
        <f>IF(OR(LOWER(TRIM(tblEncounters5[[#This Row],[Admission_Type]]))="emergency",LOWER(TRIM(tblEncounters5[[#This Row],[Admission_Type]]))="emerg"),"Emergency",IF(LOWER(TRIM(tblEncounters5[[#This Row],[Admission_Type]]))="planned","Planned","Review"))</f>
        <v>Emergency</v>
      </c>
      <c r="Y11" t="str">
        <f ca="1">IF(tblEncounters5[[#This Row],[Discharge_Date]]="","Missing Discharge",IF(tblEncounters5[[#This Row],[Discharge_Date]]&lt;tblEncounters5[[#This Row],[Admission_Date]],"Invalid Date","OK"))</f>
        <v>OK</v>
      </c>
      <c r="Z11">
        <f ca="1">IF(OR(tblEncounters5[[#This Row],[Admission_Date]]="",tblEncounters5[[#This Row],[Discharge_Date]]=""),"",tblEncounters5[[#This Row],[Discharge_Date]]-tblEncounters5[[#This Row],[Admission_Date]])</f>
        <v>2</v>
      </c>
      <c r="AA11" t="str">
        <f ca="1">IF(tblEncounters5[[#This Row],[Calculated_LOS]]="","Missing",IF(tblEncounters5[[#This Row],[Calculated_LOS]]=tblEncounters5[[#This Row],[LOS_Days]],"Match","Mismatch"))</f>
        <v>Match</v>
      </c>
      <c r="AB11" t="str">
        <f>IF(COUNTIF(tblEncounters[Hospital_ID],tblEncounters5[[#This Row],[Hospital_ID]])=1,"Valid","Invalid")</f>
        <v>Invalid</v>
      </c>
      <c r="AC11"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12" spans="1:29" hidden="1">
      <c r="A12" t="s">
        <v>93</v>
      </c>
      <c r="B12" t="s">
        <v>143</v>
      </c>
      <c r="C12" t="s">
        <v>11</v>
      </c>
      <c r="D12">
        <v>38</v>
      </c>
      <c r="E12" t="str">
        <f>IF(tblEncounters5[[#This Row],[Age]]&lt;30,"18-29",IF(tblEncounters5[[#This Row],[Age]]&lt;45,"30-44",IF(tblEncounters5[[#This Row],[Age]]&lt;60,"45-59",IF(tblEncounters5[[#This Row],[Age]]&lt;75,"60-74","75+"))))</f>
        <v>30-44</v>
      </c>
      <c r="F12" t="s">
        <v>184</v>
      </c>
      <c r="G12" t="s">
        <v>220</v>
      </c>
      <c r="H12" t="s">
        <v>191</v>
      </c>
      <c r="I12" s="11">
        <v>46103</v>
      </c>
      <c r="J12" s="10">
        <f ca="1">tblEncounters5[[#This Row],[Admission_Date]]+RANDBETWEEN(1,12)</f>
        <v>46111</v>
      </c>
      <c r="K12">
        <f ca="1">tblEncounters5[[#This Row],[Discharge_Date]]-tblEncounters5[[#This Row],[Admission_Date]]</f>
        <v>8</v>
      </c>
      <c r="L12" s="10" t="s">
        <v>54</v>
      </c>
      <c r="M12" s="9" t="s">
        <v>193</v>
      </c>
      <c r="N12" t="s">
        <v>53</v>
      </c>
      <c r="O12" t="s">
        <v>54</v>
      </c>
      <c r="P12" t="s">
        <v>53</v>
      </c>
      <c r="Q12" t="str">
        <f>_xlfn.XLOOKUP(tblEncounters5[[#This Row],[Hospital_ID]],Table1[Hospital_ID],Table1[Hospital_Name],"Not Found")</f>
        <v>Nova Medical Centre</v>
      </c>
      <c r="R12" t="str">
        <f>_xlfn.XLOOKUP(tblEncounters5[[#This Row],[Hospital_ID]],Table1[Hospital_ID],Table1[Country],"Not Found")</f>
        <v>Germany</v>
      </c>
      <c r="S12" t="str">
        <f>_xlfn.XLOOKUP(tblEncounters5[[#This Row],[Hospital_ID]],Table1[Hospital_ID],Table1[FHIR_Enabled],"Not Found")</f>
        <v>Yes</v>
      </c>
      <c r="T12" t="str">
        <f ca="1">IF(OR(tblEncounters5[[#This Row],[Age]]="",tblEncounters5[[#This Row],[Age]]&lt;18,tblEncounters5[[#This Row],[Age]]&gt;100,tblEncounters5[[#This Row],[Department]]="",tblEncounters5[[#This Row],[Documentation_Complete]]="",tblEncounters5[[#This Row],[LOS_Days]]&lt;0),"Review","OK")</f>
        <v>OK</v>
      </c>
      <c r="U12" t="str">
        <f>IF(COUNTIF(tblEncounters5[[#All],[Encounter_ID]],tblEncounters5[[#This Row],[Encounter_ID]])&gt;1,"Duplicate","Unique")</f>
        <v>Unique</v>
      </c>
      <c r="V12" t="str">
        <f>PROPER(TRIM(tblEncounters5[[#This Row],[Department]]))</f>
        <v>Psychiatry</v>
      </c>
      <c r="W12" t="str">
        <f>IF(LOWER(TRIM(tblEncounters5[[#This Row],[Sex]]))="male","Male",IF(LOWER(TRIM(tblEncounters5[[#This Row],[Sex]]))="female","Female","Review"))</f>
        <v>Female</v>
      </c>
      <c r="X12" t="str">
        <f>IF(OR(LOWER(TRIM(tblEncounters5[[#This Row],[Admission_Type]]))="emergency",LOWER(TRIM(tblEncounters5[[#This Row],[Admission_Type]]))="emerg"),"Emergency",IF(LOWER(TRIM(tblEncounters5[[#This Row],[Admission_Type]]))="planned","Planned","Review"))</f>
        <v>Emergency</v>
      </c>
      <c r="Y12" t="str">
        <f ca="1">IF(tblEncounters5[[#This Row],[Discharge_Date]]="","Missing Discharge",IF(tblEncounters5[[#This Row],[Discharge_Date]]&lt;tblEncounters5[[#This Row],[Admission_Date]],"Invalid Date","OK"))</f>
        <v>OK</v>
      </c>
      <c r="Z12">
        <f ca="1">IF(OR(tblEncounters5[[#This Row],[Admission_Date]]="",tblEncounters5[[#This Row],[Discharge_Date]]=""),"",tblEncounters5[[#This Row],[Discharge_Date]]-tblEncounters5[[#This Row],[Admission_Date]])</f>
        <v>8</v>
      </c>
      <c r="AA12" t="str">
        <f ca="1">IF(tblEncounters5[[#This Row],[Calculated_LOS]]="","Missing",IF(tblEncounters5[[#This Row],[Calculated_LOS]]=tblEncounters5[[#This Row],[LOS_Days]],"Match","Mismatch"))</f>
        <v>Match</v>
      </c>
      <c r="AB12" t="str">
        <f>IF(COUNTIF(tblEncounters[Hospital_ID],tblEncounters5[[#This Row],[Hospital_ID]])=1,"Valid","Invalid")</f>
        <v>Invalid</v>
      </c>
      <c r="AC12"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13" spans="1:29" hidden="1">
      <c r="A13" t="s">
        <v>94</v>
      </c>
      <c r="B13" t="s">
        <v>144</v>
      </c>
      <c r="C13" t="s">
        <v>12</v>
      </c>
      <c r="D13">
        <v>79</v>
      </c>
      <c r="E13" t="str">
        <f>IF(tblEncounters5[[#This Row],[Age]]&lt;30,"18-29",IF(tblEncounters5[[#This Row],[Age]]&lt;45,"30-44",IF(tblEncounters5[[#This Row],[Age]]&lt;60,"45-59",IF(tblEncounters5[[#This Row],[Age]]&lt;75,"60-74","75+"))))</f>
        <v>75+</v>
      </c>
      <c r="F13" t="s">
        <v>184</v>
      </c>
      <c r="G13" t="s">
        <v>190</v>
      </c>
      <c r="H13" t="s">
        <v>191</v>
      </c>
      <c r="I13" s="10">
        <v>46107</v>
      </c>
      <c r="J13" s="10">
        <f ca="1">tblEncounters5[[#This Row],[Admission_Date]]+RANDBETWEEN(1,12)</f>
        <v>46110</v>
      </c>
      <c r="K13">
        <f ca="1">tblEncounters5[[#This Row],[Discharge_Date]]-tblEncounters5[[#This Row],[Admission_Date]]</f>
        <v>3</v>
      </c>
      <c r="L13" s="10" t="s">
        <v>54</v>
      </c>
      <c r="M13" s="9" t="s">
        <v>194</v>
      </c>
      <c r="N13" t="s">
        <v>53</v>
      </c>
      <c r="O13" t="s">
        <v>54</v>
      </c>
      <c r="P13" t="s">
        <v>54</v>
      </c>
      <c r="Q13" t="str">
        <f>_xlfn.XLOOKUP(tblEncounters5[[#This Row],[Hospital_ID]],Table1[Hospital_ID],Table1[Hospital_Name],"Not Found")</f>
        <v>Aurora Medical Centre</v>
      </c>
      <c r="R13" t="str">
        <f>_xlfn.XLOOKUP(tblEncounters5[[#This Row],[Hospital_ID]],Table1[Hospital_ID],Table1[Country],"Not Found")</f>
        <v>Netherland</v>
      </c>
      <c r="S13" t="str">
        <f>_xlfn.XLOOKUP(tblEncounters5[[#This Row],[Hospital_ID]],Table1[Hospital_ID],Table1[FHIR_Enabled],"Not Found")</f>
        <v>Yes</v>
      </c>
      <c r="T13" t="str">
        <f ca="1">IF(OR(tblEncounters5[[#This Row],[Age]]="",tblEncounters5[[#This Row],[Age]]&lt;18,tblEncounters5[[#This Row],[Age]]&gt;100,tblEncounters5[[#This Row],[Department]]="",tblEncounters5[[#This Row],[Documentation_Complete]]="",tblEncounters5[[#This Row],[LOS_Days]]&lt;0),"Review","OK")</f>
        <v>OK</v>
      </c>
      <c r="U13" t="str">
        <f>IF(COUNTIF(tblEncounters5[[#All],[Encounter_ID]],tblEncounters5[[#This Row],[Encounter_ID]])&gt;1,"Duplicate","Unique")</f>
        <v>Unique</v>
      </c>
      <c r="V13" t="str">
        <f>PROPER(TRIM(tblEncounters5[[#This Row],[Department]]))</f>
        <v>General Surgery</v>
      </c>
      <c r="W13" t="str">
        <f>IF(LOWER(TRIM(tblEncounters5[[#This Row],[Sex]]))="male","Male",IF(LOWER(TRIM(tblEncounters5[[#This Row],[Sex]]))="female","Female","Review"))</f>
        <v>Female</v>
      </c>
      <c r="X13" t="str">
        <f>IF(OR(LOWER(TRIM(tblEncounters5[[#This Row],[Admission_Type]]))="emergency",LOWER(TRIM(tblEncounters5[[#This Row],[Admission_Type]]))="emerg"),"Emergency",IF(LOWER(TRIM(tblEncounters5[[#This Row],[Admission_Type]]))="planned","Planned","Review"))</f>
        <v>Emergency</v>
      </c>
      <c r="Y13" t="str">
        <f ca="1">IF(tblEncounters5[[#This Row],[Discharge_Date]]="","Missing Discharge",IF(tblEncounters5[[#This Row],[Discharge_Date]]&lt;tblEncounters5[[#This Row],[Admission_Date]],"Invalid Date","OK"))</f>
        <v>OK</v>
      </c>
      <c r="Z13">
        <f ca="1">IF(OR(tblEncounters5[[#This Row],[Admission_Date]]="",tblEncounters5[[#This Row],[Discharge_Date]]=""),"",tblEncounters5[[#This Row],[Discharge_Date]]-tblEncounters5[[#This Row],[Admission_Date]])</f>
        <v>3</v>
      </c>
      <c r="AA13" t="str">
        <f ca="1">IF(tblEncounters5[[#This Row],[Calculated_LOS]]="","Missing",IF(tblEncounters5[[#This Row],[Calculated_LOS]]=tblEncounters5[[#This Row],[LOS_Days]],"Match","Mismatch"))</f>
        <v>Match</v>
      </c>
      <c r="AB13" t="str">
        <f>IF(COUNTIF(tblEncounters[Hospital_ID],tblEncounters5[[#This Row],[Hospital_ID]])=1,"Valid","Invalid")</f>
        <v>Invalid</v>
      </c>
      <c r="AC13"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14" spans="1:29">
      <c r="A14" t="s">
        <v>95</v>
      </c>
      <c r="B14" t="s">
        <v>145</v>
      </c>
      <c r="C14" t="s">
        <v>13</v>
      </c>
      <c r="E14" t="str">
        <f>IF(tblEncounters5[[#This Row],[Age]]&lt;30,"18-29",IF(tblEncounters5[[#This Row],[Age]]&lt;45,"30-44",IF(tblEncounters5[[#This Row],[Age]]&lt;60,"45-59",IF(tblEncounters5[[#This Row],[Age]]&lt;75,"60-74","75+"))))</f>
        <v>18-29</v>
      </c>
      <c r="F14" t="s">
        <v>183</v>
      </c>
      <c r="H14" t="s">
        <v>191</v>
      </c>
      <c r="I14" s="10">
        <v>46046</v>
      </c>
      <c r="J14" s="10">
        <f ca="1">tblEncounters5[[#This Row],[Admission_Date]]+RANDBETWEEN(1,12)</f>
        <v>46056</v>
      </c>
      <c r="K14">
        <f ca="1">tblEncounters5[[#This Row],[Discharge_Date]]-tblEncounters5[[#This Row],[Admission_Date]]</f>
        <v>10</v>
      </c>
      <c r="L14" s="10" t="s">
        <v>53</v>
      </c>
      <c r="M14" t="s">
        <v>195</v>
      </c>
      <c r="N14" t="s">
        <v>53</v>
      </c>
      <c r="O14" t="s">
        <v>54</v>
      </c>
      <c r="P14" t="s">
        <v>54</v>
      </c>
      <c r="Q14" t="str">
        <f>_xlfn.XLOOKUP(tblEncounters5[[#This Row],[Hospital_ID]],Table1[Hospital_ID],Table1[Hospital_Name],"Not Found")</f>
        <v>Helis General Hospital</v>
      </c>
      <c r="R14" t="str">
        <f>_xlfn.XLOOKUP(tblEncounters5[[#This Row],[Hospital_ID]],Table1[Hospital_ID],Table1[Country],"Not Found")</f>
        <v>Austria</v>
      </c>
      <c r="S14" t="str">
        <f>_xlfn.XLOOKUP(tblEncounters5[[#This Row],[Hospital_ID]],Table1[Hospital_ID],Table1[FHIR_Enabled],"Not Found")</f>
        <v>Partial</v>
      </c>
      <c r="T14" t="str">
        <f ca="1">IF(OR(tblEncounters5[[#This Row],[Age]]="",tblEncounters5[[#This Row],[Age]]&lt;18,tblEncounters5[[#This Row],[Age]]&gt;100,tblEncounters5[[#This Row],[Department]]="",tblEncounters5[[#This Row],[Documentation_Complete]]="",tblEncounters5[[#This Row],[LOS_Days]]&lt;0),"Review","OK")</f>
        <v>Review</v>
      </c>
      <c r="U14" t="str">
        <f>IF(COUNTIF(tblEncounters5[[#All],[Encounter_ID]],tblEncounters5[[#This Row],[Encounter_ID]])&gt;1,"Duplicate","Unique")</f>
        <v>Unique</v>
      </c>
      <c r="V14" t="str">
        <f>PROPER(TRIM(tblEncounters5[[#This Row],[Department]]))</f>
        <v/>
      </c>
      <c r="W14" t="str">
        <f>IF(LOWER(TRIM(tblEncounters5[[#This Row],[Sex]]))="male","Male",IF(LOWER(TRIM(tblEncounters5[[#This Row],[Sex]]))="female","Female","Review"))</f>
        <v>Male</v>
      </c>
      <c r="X14" t="str">
        <f>IF(OR(LOWER(TRIM(tblEncounters5[[#This Row],[Admission_Type]]))="emergency",LOWER(TRIM(tblEncounters5[[#This Row],[Admission_Type]]))="emerg"),"Emergency",IF(LOWER(TRIM(tblEncounters5[[#This Row],[Admission_Type]]))="planned","Planned","Review"))</f>
        <v>Emergency</v>
      </c>
      <c r="Y14" t="str">
        <f ca="1">IF(tblEncounters5[[#This Row],[Discharge_Date]]="","Missing Discharge",IF(tblEncounters5[[#This Row],[Discharge_Date]]&lt;tblEncounters5[[#This Row],[Admission_Date]],"Invalid Date","OK"))</f>
        <v>OK</v>
      </c>
      <c r="Z14">
        <f ca="1">IF(OR(tblEncounters5[[#This Row],[Admission_Date]]="",tblEncounters5[[#This Row],[Discharge_Date]]=""),"",tblEncounters5[[#This Row],[Discharge_Date]]-tblEncounters5[[#This Row],[Admission_Date]])</f>
        <v>10</v>
      </c>
      <c r="AA14" t="str">
        <f ca="1">IF(tblEncounters5[[#This Row],[Calculated_LOS]]="","Missing",IF(tblEncounters5[[#This Row],[Calculated_LOS]]=tblEncounters5[[#This Row],[LOS_Days]],"Match","Mismatch"))</f>
        <v>Match</v>
      </c>
      <c r="AB14" t="str">
        <f>IF(COUNTIF(tblEncounters[Hospital_ID],tblEncounters5[[#This Row],[Hospital_ID]])=1,"Valid","Invalid")</f>
        <v>Invalid</v>
      </c>
      <c r="AC14" t="str">
        <f>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Missing Age</v>
      </c>
    </row>
    <row r="15" spans="1:29" hidden="1">
      <c r="A15" t="s">
        <v>96</v>
      </c>
      <c r="B15" t="s">
        <v>146</v>
      </c>
      <c r="C15" t="s">
        <v>14</v>
      </c>
      <c r="D15">
        <v>39</v>
      </c>
      <c r="E15" t="str">
        <f>IF(tblEncounters5[[#This Row],[Age]]&lt;30,"18-29",IF(tblEncounters5[[#This Row],[Age]]&lt;45,"30-44",IF(tblEncounters5[[#This Row],[Age]]&lt;60,"45-59",IF(tblEncounters5[[#This Row],[Age]]&lt;75,"60-74","75+"))))</f>
        <v>30-44</v>
      </c>
      <c r="F15" t="s">
        <v>183</v>
      </c>
      <c r="G15" t="s">
        <v>186</v>
      </c>
      <c r="H15" t="s">
        <v>191</v>
      </c>
      <c r="I15" s="10">
        <v>46050</v>
      </c>
      <c r="J15" s="10">
        <f ca="1">tblEncounters5[[#This Row],[Admission_Date]]+RANDBETWEEN(1,12)</f>
        <v>46060</v>
      </c>
      <c r="K15">
        <f ca="1">tblEncounters5[[#This Row],[Discharge_Date]]-tblEncounters5[[#This Row],[Admission_Date]]</f>
        <v>10</v>
      </c>
      <c r="L15" s="10" t="s">
        <v>54</v>
      </c>
      <c r="M15" s="9" t="s">
        <v>196</v>
      </c>
      <c r="N15" t="s">
        <v>53</v>
      </c>
      <c r="O15" t="s">
        <v>54</v>
      </c>
      <c r="P15" t="s">
        <v>54</v>
      </c>
      <c r="Q15" t="str">
        <f>_xlfn.XLOOKUP(tblEncounters5[[#This Row],[Hospital_ID]],Table1[Hospital_ID],Table1[Hospital_Name],"Not Found")</f>
        <v>St. Clara Medical Centre</v>
      </c>
      <c r="R15" t="str">
        <f>_xlfn.XLOOKUP(tblEncounters5[[#This Row],[Hospital_ID]],Table1[Hospital_ID],Table1[Country],"Not Found")</f>
        <v>France</v>
      </c>
      <c r="S15" t="str">
        <f>_xlfn.XLOOKUP(tblEncounters5[[#This Row],[Hospital_ID]],Table1[Hospital_ID],Table1[FHIR_Enabled],"Not Found")</f>
        <v>Yes</v>
      </c>
      <c r="T15" t="str">
        <f ca="1">IF(OR(tblEncounters5[[#This Row],[Age]]="",tblEncounters5[[#This Row],[Age]]&lt;18,tblEncounters5[[#This Row],[Age]]&gt;100,tblEncounters5[[#This Row],[Department]]="",tblEncounters5[[#This Row],[Documentation_Complete]]="",tblEncounters5[[#This Row],[LOS_Days]]&lt;0),"Review","OK")</f>
        <v>OK</v>
      </c>
      <c r="U15" t="str">
        <f>IF(COUNTIF(tblEncounters5[[#All],[Encounter_ID]],tblEncounters5[[#This Row],[Encounter_ID]])&gt;1,"Duplicate","Unique")</f>
        <v>Unique</v>
      </c>
      <c r="V15" t="str">
        <f>PROPER(TRIM(tblEncounters5[[#This Row],[Department]]))</f>
        <v>Cardiology</v>
      </c>
      <c r="W15" t="str">
        <f>IF(LOWER(TRIM(tblEncounters5[[#This Row],[Sex]]))="male","Male",IF(LOWER(TRIM(tblEncounters5[[#This Row],[Sex]]))="female","Female","Review"))</f>
        <v>Male</v>
      </c>
      <c r="X15" t="str">
        <f>IF(OR(LOWER(TRIM(tblEncounters5[[#This Row],[Admission_Type]]))="emergency",LOWER(TRIM(tblEncounters5[[#This Row],[Admission_Type]]))="emerg"),"Emergency",IF(LOWER(TRIM(tblEncounters5[[#This Row],[Admission_Type]]))="planned","Planned","Review"))</f>
        <v>Emergency</v>
      </c>
      <c r="Y15" t="str">
        <f ca="1">IF(tblEncounters5[[#This Row],[Discharge_Date]]="","Missing Discharge",IF(tblEncounters5[[#This Row],[Discharge_Date]]&lt;tblEncounters5[[#This Row],[Admission_Date]],"Invalid Date","OK"))</f>
        <v>OK</v>
      </c>
      <c r="Z15">
        <f ca="1">IF(OR(tblEncounters5[[#This Row],[Admission_Date]]="",tblEncounters5[[#This Row],[Discharge_Date]]=""),"",tblEncounters5[[#This Row],[Discharge_Date]]-tblEncounters5[[#This Row],[Admission_Date]])</f>
        <v>10</v>
      </c>
      <c r="AA15" t="str">
        <f ca="1">IF(tblEncounters5[[#This Row],[Calculated_LOS]]="","Missing",IF(tblEncounters5[[#This Row],[Calculated_LOS]]=tblEncounters5[[#This Row],[LOS_Days]],"Match","Mismatch"))</f>
        <v>Match</v>
      </c>
      <c r="AB15" t="str">
        <f>IF(COUNTIF(tblEncounters[Hospital_ID],tblEncounters5[[#This Row],[Hospital_ID]])=1,"Valid","Invalid")</f>
        <v>Invalid</v>
      </c>
      <c r="AC15"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16" spans="1:29">
      <c r="A16" t="s">
        <v>97</v>
      </c>
      <c r="B16" t="s">
        <v>147</v>
      </c>
      <c r="C16" t="s">
        <v>15</v>
      </c>
      <c r="D16">
        <v>41</v>
      </c>
      <c r="E16" t="str">
        <f>IF(tblEncounters5[[#This Row],[Age]]&lt;30,"18-29",IF(tblEncounters5[[#This Row],[Age]]&lt;45,"30-44",IF(tblEncounters5[[#This Row],[Age]]&lt;60,"45-59",IF(tblEncounters5[[#This Row],[Age]]&lt;75,"60-74","75+"))))</f>
        <v>30-44</v>
      </c>
      <c r="F16" t="s">
        <v>184</v>
      </c>
      <c r="G16" t="s">
        <v>187</v>
      </c>
      <c r="H16" t="s">
        <v>191</v>
      </c>
      <c r="I16" s="10">
        <v>46090</v>
      </c>
      <c r="J16" s="10">
        <f ca="1">tblEncounters5[[#This Row],[Admission_Date]]+RANDBETWEEN(1,12)</f>
        <v>46091</v>
      </c>
      <c r="K16">
        <f ca="1">tblEncounters5[[#This Row],[Discharge_Date]]-tblEncounters5[[#This Row],[Admission_Date]]</f>
        <v>1</v>
      </c>
      <c r="L16" s="10" t="s">
        <v>54</v>
      </c>
      <c r="M16" s="9" t="s">
        <v>197</v>
      </c>
      <c r="N16" t="s">
        <v>53</v>
      </c>
      <c r="O16" t="s">
        <v>53</v>
      </c>
      <c r="P16" t="s">
        <v>54</v>
      </c>
      <c r="Q16" t="str">
        <f>_xlfn.XLOOKUP(tblEncounters5[[#This Row],[Hospital_ID]],Table1[Hospital_ID],Table1[Hospital_Name],"Not Found")</f>
        <v>Europa Health Institute</v>
      </c>
      <c r="R16" t="str">
        <f>_xlfn.XLOOKUP(tblEncounters5[[#This Row],[Hospital_ID]],Table1[Hospital_ID],Table1[Country],"Not Found")</f>
        <v xml:space="preserve">Belgium </v>
      </c>
      <c r="S16" t="str">
        <f>_xlfn.XLOOKUP(tblEncounters5[[#This Row],[Hospital_ID]],Table1[Hospital_ID],Table1[FHIR_Enabled],"Not Found")</f>
        <v>Yes</v>
      </c>
      <c r="T16" t="str">
        <f ca="1">IF(OR(tblEncounters5[[#This Row],[Age]]="",tblEncounters5[[#This Row],[Age]]&lt;18,tblEncounters5[[#This Row],[Age]]&gt;100,tblEncounters5[[#This Row],[Department]]="",tblEncounters5[[#This Row],[Documentation_Complete]]="",tblEncounters5[[#This Row],[LOS_Days]]&lt;0),"Review","OK")</f>
        <v>OK</v>
      </c>
      <c r="U16" t="str">
        <f>IF(COUNTIF(tblEncounters5[[#All],[Encounter_ID]],tblEncounters5[[#This Row],[Encounter_ID]])&gt;1,"Duplicate","Unique")</f>
        <v>Duplicate</v>
      </c>
      <c r="V16" t="str">
        <f>PROPER(TRIM(tblEncounters5[[#This Row],[Department]]))</f>
        <v>Neurology</v>
      </c>
      <c r="W16" t="str">
        <f>IF(LOWER(TRIM(tblEncounters5[[#This Row],[Sex]]))="male","Male",IF(LOWER(TRIM(tblEncounters5[[#This Row],[Sex]]))="female","Female","Review"))</f>
        <v>Female</v>
      </c>
      <c r="X16" t="str">
        <f>IF(OR(LOWER(TRIM(tblEncounters5[[#This Row],[Admission_Type]]))="emergency",LOWER(TRIM(tblEncounters5[[#This Row],[Admission_Type]]))="emerg"),"Emergency",IF(LOWER(TRIM(tblEncounters5[[#This Row],[Admission_Type]]))="planned","Planned","Review"))</f>
        <v>Emergency</v>
      </c>
      <c r="Y16" t="str">
        <f ca="1">IF(tblEncounters5[[#This Row],[Discharge_Date]]="","Missing Discharge",IF(tblEncounters5[[#This Row],[Discharge_Date]]&lt;tblEncounters5[[#This Row],[Admission_Date]],"Invalid Date","OK"))</f>
        <v>OK</v>
      </c>
      <c r="Z16">
        <f ca="1">IF(OR(tblEncounters5[[#This Row],[Admission_Date]]="",tblEncounters5[[#This Row],[Discharge_Date]]=""),"",tblEncounters5[[#This Row],[Discharge_Date]]-tblEncounters5[[#This Row],[Admission_Date]])</f>
        <v>1</v>
      </c>
      <c r="AA16" t="str">
        <f ca="1">IF(tblEncounters5[[#This Row],[Calculated_LOS]]="","Missing",IF(tblEncounters5[[#This Row],[Calculated_LOS]]=tblEncounters5[[#This Row],[LOS_Days]],"Match","Mismatch"))</f>
        <v>Match</v>
      </c>
      <c r="AB16" t="str">
        <f>IF(COUNTIF(tblEncounters[Hospital_ID],tblEncounters5[[#This Row],[Hospital_ID]])=1,"Valid","Invalid")</f>
        <v>Invalid</v>
      </c>
      <c r="AC16"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Duplicate Encounter</v>
      </c>
    </row>
    <row r="17" spans="1:29" hidden="1">
      <c r="A17" t="s">
        <v>98</v>
      </c>
      <c r="B17" t="s">
        <v>148</v>
      </c>
      <c r="C17" t="s">
        <v>16</v>
      </c>
      <c r="D17">
        <v>85</v>
      </c>
      <c r="E17" t="str">
        <f>IF(tblEncounters5[[#This Row],[Age]]&lt;30,"18-29",IF(tblEncounters5[[#This Row],[Age]]&lt;45,"30-44",IF(tblEncounters5[[#This Row],[Age]]&lt;60,"45-59",IF(tblEncounters5[[#This Row],[Age]]&lt;75,"60-74","75+"))))</f>
        <v>75+</v>
      </c>
      <c r="F17" t="s">
        <v>183</v>
      </c>
      <c r="G17" t="s">
        <v>188</v>
      </c>
      <c r="H17" t="s">
        <v>192</v>
      </c>
      <c r="I17" s="10">
        <v>46084</v>
      </c>
      <c r="J17" s="10">
        <f ca="1">tblEncounters5[[#This Row],[Admission_Date]]+RANDBETWEEN(1,12)</f>
        <v>46096</v>
      </c>
      <c r="K17">
        <f ca="1">tblEncounters5[[#This Row],[Discharge_Date]]-tblEncounters5[[#This Row],[Admission_Date]]</f>
        <v>12</v>
      </c>
      <c r="L17" s="10" t="s">
        <v>54</v>
      </c>
      <c r="M17" s="9" t="s">
        <v>193</v>
      </c>
      <c r="N17" t="s">
        <v>53</v>
      </c>
      <c r="O17" t="s">
        <v>54</v>
      </c>
      <c r="P17" t="s">
        <v>54</v>
      </c>
      <c r="Q17" t="str">
        <f>_xlfn.XLOOKUP(tblEncounters5[[#This Row],[Hospital_ID]],Table1[Hospital_ID],Table1[Hospital_Name],"Not Found")</f>
        <v>Marbel General Hospital</v>
      </c>
      <c r="R17" t="str">
        <f>_xlfn.XLOOKUP(tblEncounters5[[#This Row],[Hospital_ID]],Table1[Hospital_ID],Table1[Country],"Not Found")</f>
        <v>Sweden</v>
      </c>
      <c r="S17" t="str">
        <f>_xlfn.XLOOKUP(tblEncounters5[[#This Row],[Hospital_ID]],Table1[Hospital_ID],Table1[FHIR_Enabled],"Not Found")</f>
        <v>Yes</v>
      </c>
      <c r="T17" t="str">
        <f ca="1">IF(OR(tblEncounters5[[#This Row],[Age]]="",tblEncounters5[[#This Row],[Age]]&lt;18,tblEncounters5[[#This Row],[Age]]&gt;100,tblEncounters5[[#This Row],[Department]]="",tblEncounters5[[#This Row],[Documentation_Complete]]="",tblEncounters5[[#This Row],[LOS_Days]]&lt;0),"Review","OK")</f>
        <v>OK</v>
      </c>
      <c r="U17" t="str">
        <f>IF(COUNTIF(tblEncounters5[[#All],[Encounter_ID]],tblEncounters5[[#This Row],[Encounter_ID]])&gt;1,"Duplicate","Unique")</f>
        <v>Unique</v>
      </c>
      <c r="V17" t="str">
        <f>PROPER(TRIM(tblEncounters5[[#This Row],[Department]]))</f>
        <v>Orthopaedics</v>
      </c>
      <c r="W17" t="str">
        <f>IF(LOWER(TRIM(tblEncounters5[[#This Row],[Sex]]))="male","Male",IF(LOWER(TRIM(tblEncounters5[[#This Row],[Sex]]))="female","Female","Review"))</f>
        <v>Male</v>
      </c>
      <c r="X17" t="str">
        <f>IF(OR(LOWER(TRIM(tblEncounters5[[#This Row],[Admission_Type]]))="emergency",LOWER(TRIM(tblEncounters5[[#This Row],[Admission_Type]]))="emerg"),"Emergency",IF(LOWER(TRIM(tblEncounters5[[#This Row],[Admission_Type]]))="planned","Planned","Review"))</f>
        <v>Planned</v>
      </c>
      <c r="Y17" t="str">
        <f ca="1">IF(tblEncounters5[[#This Row],[Discharge_Date]]="","Missing Discharge",IF(tblEncounters5[[#This Row],[Discharge_Date]]&lt;tblEncounters5[[#This Row],[Admission_Date]],"Invalid Date","OK"))</f>
        <v>OK</v>
      </c>
      <c r="Z17">
        <f ca="1">IF(OR(tblEncounters5[[#This Row],[Admission_Date]]="",tblEncounters5[[#This Row],[Discharge_Date]]=""),"",tblEncounters5[[#This Row],[Discharge_Date]]-tblEncounters5[[#This Row],[Admission_Date]])</f>
        <v>12</v>
      </c>
      <c r="AA17" t="str">
        <f ca="1">IF(tblEncounters5[[#This Row],[Calculated_LOS]]="","Missing",IF(tblEncounters5[[#This Row],[Calculated_LOS]]=tblEncounters5[[#This Row],[LOS_Days]],"Match","Mismatch"))</f>
        <v>Match</v>
      </c>
      <c r="AB17" t="str">
        <f>IF(COUNTIF(tblEncounters[Hospital_ID],tblEncounters5[[#This Row],[Hospital_ID]])=1,"Valid","Invalid")</f>
        <v>Invalid</v>
      </c>
      <c r="AC17"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18" spans="1:29" hidden="1">
      <c r="A18" t="s">
        <v>99</v>
      </c>
      <c r="B18" t="s">
        <v>149</v>
      </c>
      <c r="C18" t="s">
        <v>17</v>
      </c>
      <c r="D18">
        <v>40</v>
      </c>
      <c r="E18" t="str">
        <f>IF(tblEncounters5[[#This Row],[Age]]&lt;30,"18-29",IF(tblEncounters5[[#This Row],[Age]]&lt;45,"30-44",IF(tblEncounters5[[#This Row],[Age]]&lt;60,"45-59",IF(tblEncounters5[[#This Row],[Age]]&lt;75,"60-74","75+"))))</f>
        <v>30-44</v>
      </c>
      <c r="F18" t="s">
        <v>184</v>
      </c>
      <c r="G18" t="s">
        <v>189</v>
      </c>
      <c r="H18" t="s">
        <v>191</v>
      </c>
      <c r="I18" s="10">
        <v>46044</v>
      </c>
      <c r="J18" s="10">
        <f ca="1">tblEncounters5[[#This Row],[Admission_Date]]+RANDBETWEEN(1,12)</f>
        <v>46048</v>
      </c>
      <c r="K18">
        <f ca="1">tblEncounters5[[#This Row],[Discharge_Date]]-tblEncounters5[[#This Row],[Admission_Date]]</f>
        <v>4</v>
      </c>
      <c r="L18" s="10" t="s">
        <v>53</v>
      </c>
      <c r="M18" s="9" t="s">
        <v>194</v>
      </c>
      <c r="N18" t="s">
        <v>53</v>
      </c>
      <c r="O18" t="s">
        <v>54</v>
      </c>
      <c r="P18" t="s">
        <v>53</v>
      </c>
      <c r="Q18" t="str">
        <f>_xlfn.XLOOKUP(tblEncounters5[[#This Row],[Hospital_ID]],Table1[Hospital_ID],Table1[Hospital_Name],"Not Found")</f>
        <v>Helix Medical Centre</v>
      </c>
      <c r="R18" t="str">
        <f>_xlfn.XLOOKUP(tblEncounters5[[#This Row],[Hospital_ID]],Table1[Hospital_ID],Table1[Country],"Not Found")</f>
        <v>Denmark</v>
      </c>
      <c r="S18" t="str">
        <f>_xlfn.XLOOKUP(tblEncounters5[[#This Row],[Hospital_ID]],Table1[Hospital_ID],Table1[FHIR_Enabled],"Not Found")</f>
        <v>Partial</v>
      </c>
      <c r="T18" t="str">
        <f ca="1">IF(OR(tblEncounters5[[#This Row],[Age]]="",tblEncounters5[[#This Row],[Age]]&lt;18,tblEncounters5[[#This Row],[Age]]&gt;100,tblEncounters5[[#This Row],[Department]]="",tblEncounters5[[#This Row],[Documentation_Complete]]="",tblEncounters5[[#This Row],[LOS_Days]]&lt;0),"Review","OK")</f>
        <v>OK</v>
      </c>
      <c r="U18" t="str">
        <f>IF(COUNTIF(tblEncounters5[[#All],[Encounter_ID]],tblEncounters5[[#This Row],[Encounter_ID]])&gt;1,"Duplicate","Unique")</f>
        <v>Unique</v>
      </c>
      <c r="V18" t="str">
        <f>PROPER(TRIM(tblEncounters5[[#This Row],[Department]]))</f>
        <v>Psychiatry</v>
      </c>
      <c r="W18" t="str">
        <f>IF(LOWER(TRIM(tblEncounters5[[#This Row],[Sex]]))="male","Male",IF(LOWER(TRIM(tblEncounters5[[#This Row],[Sex]]))="female","Female","Review"))</f>
        <v>Female</v>
      </c>
      <c r="X18" t="str">
        <f>IF(OR(LOWER(TRIM(tblEncounters5[[#This Row],[Admission_Type]]))="emergency",LOWER(TRIM(tblEncounters5[[#This Row],[Admission_Type]]))="emerg"),"Emergency",IF(LOWER(TRIM(tblEncounters5[[#This Row],[Admission_Type]]))="planned","Planned","Review"))</f>
        <v>Emergency</v>
      </c>
      <c r="Y18" t="str">
        <f ca="1">IF(tblEncounters5[[#This Row],[Discharge_Date]]="","Missing Discharge",IF(tblEncounters5[[#This Row],[Discharge_Date]]&lt;tblEncounters5[[#This Row],[Admission_Date]],"Invalid Date","OK"))</f>
        <v>OK</v>
      </c>
      <c r="Z18">
        <f ca="1">IF(OR(tblEncounters5[[#This Row],[Admission_Date]]="",tblEncounters5[[#This Row],[Discharge_Date]]=""),"",tblEncounters5[[#This Row],[Discharge_Date]]-tblEncounters5[[#This Row],[Admission_Date]])</f>
        <v>4</v>
      </c>
      <c r="AA18" t="str">
        <f ca="1">IF(tblEncounters5[[#This Row],[Calculated_LOS]]="","Missing",IF(tblEncounters5[[#This Row],[Calculated_LOS]]=tblEncounters5[[#This Row],[LOS_Days]],"Match","Mismatch"))</f>
        <v>Match</v>
      </c>
      <c r="AB18" t="str">
        <f>IF(COUNTIF(tblEncounters[Hospital_ID],tblEncounters5[[#This Row],[Hospital_ID]])=1,"Valid","Invalid")</f>
        <v>Invalid</v>
      </c>
      <c r="AC18"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19" spans="1:29">
      <c r="A19" t="s">
        <v>100</v>
      </c>
      <c r="B19" t="s">
        <v>150</v>
      </c>
      <c r="C19" t="s">
        <v>18</v>
      </c>
      <c r="D19">
        <v>72</v>
      </c>
      <c r="E19" t="str">
        <f>IF(tblEncounters5[[#This Row],[Age]]&lt;30,"18-29",IF(tblEncounters5[[#This Row],[Age]]&lt;45,"30-44",IF(tblEncounters5[[#This Row],[Age]]&lt;60,"45-59",IF(tblEncounters5[[#This Row],[Age]]&lt;75,"60-74","75+"))))</f>
        <v>60-74</v>
      </c>
      <c r="F19" t="s">
        <v>183</v>
      </c>
      <c r="G19" t="s">
        <v>190</v>
      </c>
      <c r="H19" t="s">
        <v>192</v>
      </c>
      <c r="I19" s="10">
        <v>46044</v>
      </c>
      <c r="J19" s="10">
        <f ca="1">tblEncounters5[[#This Row],[Admission_Date]]+RANDBETWEEN(1,12)</f>
        <v>46051</v>
      </c>
      <c r="K19">
        <f ca="1">tblEncounters5[[#This Row],[Discharge_Date]]-tblEncounters5[[#This Row],[Admission_Date]]</f>
        <v>7</v>
      </c>
      <c r="L19" s="10" t="s">
        <v>54</v>
      </c>
      <c r="M19" t="s">
        <v>195</v>
      </c>
      <c r="O19" t="s">
        <v>54</v>
      </c>
      <c r="P19" t="s">
        <v>53</v>
      </c>
      <c r="Q19" t="str">
        <f>_xlfn.XLOOKUP(tblEncounters5[[#This Row],[Hospital_ID]],Table1[Hospital_ID],Table1[Hospital_Name],"Not Found")</f>
        <v>St.Aldric University Hospital</v>
      </c>
      <c r="R19" t="str">
        <f>_xlfn.XLOOKUP(tblEncounters5[[#This Row],[Hospital_ID]],Table1[Hospital_ID],Table1[Country],"Not Found")</f>
        <v>Finland</v>
      </c>
      <c r="S19" t="str">
        <f>_xlfn.XLOOKUP(tblEncounters5[[#This Row],[Hospital_ID]],Table1[Hospital_ID],Table1[FHIR_Enabled],"Not Found")</f>
        <v>Yes</v>
      </c>
      <c r="T19" t="str">
        <f ca="1">IF(OR(tblEncounters5[[#This Row],[Age]]="",tblEncounters5[[#This Row],[Age]]&lt;18,tblEncounters5[[#This Row],[Age]]&gt;100,tblEncounters5[[#This Row],[Department]]="",tblEncounters5[[#This Row],[Documentation_Complete]]="",tblEncounters5[[#This Row],[LOS_Days]]&lt;0),"Review","OK")</f>
        <v>Review</v>
      </c>
      <c r="U19" t="str">
        <f>IF(COUNTIF(tblEncounters5[[#All],[Encounter_ID]],tblEncounters5[[#This Row],[Encounter_ID]])&gt;1,"Duplicate","Unique")</f>
        <v>Unique</v>
      </c>
      <c r="V19" t="str">
        <f>PROPER(TRIM(tblEncounters5[[#This Row],[Department]]))</f>
        <v>General Surgery</v>
      </c>
      <c r="W19" t="str">
        <f>IF(LOWER(TRIM(tblEncounters5[[#This Row],[Sex]]))="male","Male",IF(LOWER(TRIM(tblEncounters5[[#This Row],[Sex]]))="female","Female","Review"))</f>
        <v>Male</v>
      </c>
      <c r="X19" t="str">
        <f>IF(OR(LOWER(TRIM(tblEncounters5[[#This Row],[Admission_Type]]))="emergency",LOWER(TRIM(tblEncounters5[[#This Row],[Admission_Type]]))="emerg"),"Emergency",IF(LOWER(TRIM(tblEncounters5[[#This Row],[Admission_Type]]))="planned","Planned","Review"))</f>
        <v>Planned</v>
      </c>
      <c r="Y19" t="str">
        <f ca="1">IF(tblEncounters5[[#This Row],[Discharge_Date]]="","Missing Discharge",IF(tblEncounters5[[#This Row],[Discharge_Date]]&lt;tblEncounters5[[#This Row],[Admission_Date]],"Invalid Date","OK"))</f>
        <v>OK</v>
      </c>
      <c r="Z19">
        <f ca="1">IF(OR(tblEncounters5[[#This Row],[Admission_Date]]="",tblEncounters5[[#This Row],[Discharge_Date]]=""),"",tblEncounters5[[#This Row],[Discharge_Date]]-tblEncounters5[[#This Row],[Admission_Date]])</f>
        <v>7</v>
      </c>
      <c r="AA19" t="str">
        <f ca="1">IF(tblEncounters5[[#This Row],[Calculated_LOS]]="","Missing",IF(tblEncounters5[[#This Row],[Calculated_LOS]]=tblEncounters5[[#This Row],[LOS_Days]],"Match","Mismatch"))</f>
        <v>Match</v>
      </c>
      <c r="AB19" t="str">
        <f>IF(COUNTIF(tblEncounters[Hospital_ID],tblEncounters5[[#This Row],[Hospital_ID]])=1,"Valid","Invalid")</f>
        <v>Invalid</v>
      </c>
      <c r="AC19" t="str">
        <f>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Missing Documentation</v>
      </c>
    </row>
    <row r="20" spans="1:29" hidden="1">
      <c r="A20" t="s">
        <v>101</v>
      </c>
      <c r="B20" t="s">
        <v>151</v>
      </c>
      <c r="C20" t="s">
        <v>19</v>
      </c>
      <c r="D20">
        <v>81</v>
      </c>
      <c r="E20" t="str">
        <f>IF(tblEncounters5[[#This Row],[Age]]&lt;30,"18-29",IF(tblEncounters5[[#This Row],[Age]]&lt;45,"30-44",IF(tblEncounters5[[#This Row],[Age]]&lt;60,"45-59",IF(tblEncounters5[[#This Row],[Age]]&lt;75,"60-74","75+"))))</f>
        <v>75+</v>
      </c>
      <c r="F20" t="s">
        <v>184</v>
      </c>
      <c r="G20" t="s">
        <v>211</v>
      </c>
      <c r="H20" t="s">
        <v>191</v>
      </c>
      <c r="I20" s="10">
        <v>46105</v>
      </c>
      <c r="J20" s="10">
        <f ca="1">tblEncounters5[[#This Row],[Admission_Date]]+RANDBETWEEN(1,12)</f>
        <v>46106</v>
      </c>
      <c r="K20">
        <f ca="1">tblEncounters5[[#This Row],[Discharge_Date]]-tblEncounters5[[#This Row],[Admission_Date]]</f>
        <v>1</v>
      </c>
      <c r="L20" s="10" t="s">
        <v>54</v>
      </c>
      <c r="M20" s="9" t="s">
        <v>196</v>
      </c>
      <c r="N20" t="s">
        <v>53</v>
      </c>
      <c r="O20" t="s">
        <v>54</v>
      </c>
      <c r="P20" t="s">
        <v>54</v>
      </c>
      <c r="Q20" t="str">
        <f>_xlfn.XLOOKUP(tblEncounters5[[#This Row],[Hospital_ID]],Table1[Hospital_ID],Table1[Hospital_Name],"Not Found")</f>
        <v>Clinica Santa Marisol</v>
      </c>
      <c r="R20" t="str">
        <f>_xlfn.XLOOKUP(tblEncounters5[[#This Row],[Hospital_ID]],Table1[Hospital_ID],Table1[Country],"Not Found")</f>
        <v>Spain</v>
      </c>
      <c r="S20" t="str">
        <f>_xlfn.XLOOKUP(tblEncounters5[[#This Row],[Hospital_ID]],Table1[Hospital_ID],Table1[FHIR_Enabled],"Not Found")</f>
        <v>Partial</v>
      </c>
      <c r="T20" t="str">
        <f ca="1">IF(OR(tblEncounters5[[#This Row],[Age]]="",tblEncounters5[[#This Row],[Age]]&lt;18,tblEncounters5[[#This Row],[Age]]&gt;100,tblEncounters5[[#This Row],[Department]]="",tblEncounters5[[#This Row],[Documentation_Complete]]="",tblEncounters5[[#This Row],[LOS_Days]]&lt;0),"Review","OK")</f>
        <v>OK</v>
      </c>
      <c r="U20" t="str">
        <f>IF(COUNTIF(tblEncounters5[[#All],[Encounter_ID]],tblEncounters5[[#This Row],[Encounter_ID]])&gt;1,"Duplicate","Unique")</f>
        <v>Unique</v>
      </c>
      <c r="V20" t="str">
        <f>PROPER(TRIM(tblEncounters5[[#This Row],[Department]]))</f>
        <v>General Medicine</v>
      </c>
      <c r="W20" t="str">
        <f>IF(LOWER(TRIM(tblEncounters5[[#This Row],[Sex]]))="male","Male",IF(LOWER(TRIM(tblEncounters5[[#This Row],[Sex]]))="female","Female","Review"))</f>
        <v>Female</v>
      </c>
      <c r="X20" t="str">
        <f>IF(OR(LOWER(TRIM(tblEncounters5[[#This Row],[Admission_Type]]))="emergency",LOWER(TRIM(tblEncounters5[[#This Row],[Admission_Type]]))="emerg"),"Emergency",IF(LOWER(TRIM(tblEncounters5[[#This Row],[Admission_Type]]))="planned","Planned","Review"))</f>
        <v>Emergency</v>
      </c>
      <c r="Y20" t="str">
        <f ca="1">IF(tblEncounters5[[#This Row],[Discharge_Date]]="","Missing Discharge",IF(tblEncounters5[[#This Row],[Discharge_Date]]&lt;tblEncounters5[[#This Row],[Admission_Date]],"Invalid Date","OK"))</f>
        <v>OK</v>
      </c>
      <c r="Z20">
        <f ca="1">IF(OR(tblEncounters5[[#This Row],[Admission_Date]]="",tblEncounters5[[#This Row],[Discharge_Date]]=""),"",tblEncounters5[[#This Row],[Discharge_Date]]-tblEncounters5[[#This Row],[Admission_Date]])</f>
        <v>1</v>
      </c>
      <c r="AA20" t="str">
        <f ca="1">IF(tblEncounters5[[#This Row],[Calculated_LOS]]="","Missing",IF(tblEncounters5[[#This Row],[Calculated_LOS]]=tblEncounters5[[#This Row],[LOS_Days]],"Match","Mismatch"))</f>
        <v>Match</v>
      </c>
      <c r="AB20" t="str">
        <f>IF(COUNTIF(tblEncounters[Hospital_ID],tblEncounters5[[#This Row],[Hospital_ID]])=1,"Valid","Invalid")</f>
        <v>Invalid</v>
      </c>
      <c r="AC20"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21" spans="1:29">
      <c r="A21" t="s">
        <v>102</v>
      </c>
      <c r="B21" t="s">
        <v>152</v>
      </c>
      <c r="C21" t="s">
        <v>20</v>
      </c>
      <c r="D21">
        <v>69</v>
      </c>
      <c r="E21" t="str">
        <f>IF(tblEncounters5[[#This Row],[Age]]&lt;30,"18-29",IF(tblEncounters5[[#This Row],[Age]]&lt;45,"30-44",IF(tblEncounters5[[#This Row],[Age]]&lt;60,"45-59",IF(tblEncounters5[[#This Row],[Age]]&lt;75,"60-74","75+"))))</f>
        <v>60-74</v>
      </c>
      <c r="F21" t="s">
        <v>183</v>
      </c>
      <c r="G21" t="s">
        <v>186</v>
      </c>
      <c r="H21" t="s">
        <v>191</v>
      </c>
      <c r="I21" s="10">
        <v>46096</v>
      </c>
      <c r="J21" s="10">
        <f ca="1">tblEncounters5[[#This Row],[Admission_Date]]+RANDBETWEEN(1,12)</f>
        <v>46106</v>
      </c>
      <c r="K21">
        <v>-4</v>
      </c>
      <c r="L21" s="10" t="s">
        <v>54</v>
      </c>
      <c r="M21" s="9" t="s">
        <v>197</v>
      </c>
      <c r="N21" t="s">
        <v>53</v>
      </c>
      <c r="O21" t="s">
        <v>54</v>
      </c>
      <c r="P21" t="s">
        <v>54</v>
      </c>
      <c r="Q21" t="str">
        <f>_xlfn.XLOOKUP(tblEncounters5[[#This Row],[Hospital_ID]],Table1[Hospital_ID],Table1[Hospital_Name],"Not Found")</f>
        <v>Nordhavan Regional Medical Centre</v>
      </c>
      <c r="R21" t="str">
        <f>_xlfn.XLOOKUP(tblEncounters5[[#This Row],[Hospital_ID]],Table1[Hospital_ID],Table1[Country],"Not Found")</f>
        <v>Italy</v>
      </c>
      <c r="S21" t="str">
        <f>_xlfn.XLOOKUP(tblEncounters5[[#This Row],[Hospital_ID]],Table1[Hospital_ID],Table1[FHIR_Enabled],"Not Found")</f>
        <v>No</v>
      </c>
      <c r="T21" t="str">
        <f>IF(OR(tblEncounters5[[#This Row],[Age]]="",tblEncounters5[[#This Row],[Age]]&lt;18,tblEncounters5[[#This Row],[Age]]&gt;100,tblEncounters5[[#This Row],[Department]]="",tblEncounters5[[#This Row],[Documentation_Complete]]="",tblEncounters5[[#This Row],[LOS_Days]]&lt;0),"Review","OK")</f>
        <v>Review</v>
      </c>
      <c r="U21" t="str">
        <f>IF(COUNTIF(tblEncounters5[[#All],[Encounter_ID]],tblEncounters5[[#This Row],[Encounter_ID]])&gt;1,"Duplicate","Unique")</f>
        <v>Unique</v>
      </c>
      <c r="V21" t="str">
        <f>PROPER(TRIM(tblEncounters5[[#This Row],[Department]]))</f>
        <v>Cardiology</v>
      </c>
      <c r="W21" t="str">
        <f>IF(LOWER(TRIM(tblEncounters5[[#This Row],[Sex]]))="male","Male",IF(LOWER(TRIM(tblEncounters5[[#This Row],[Sex]]))="female","Female","Review"))</f>
        <v>Male</v>
      </c>
      <c r="X21" t="str">
        <f>IF(OR(LOWER(TRIM(tblEncounters5[[#This Row],[Admission_Type]]))="emergency",LOWER(TRIM(tblEncounters5[[#This Row],[Admission_Type]]))="emerg"),"Emergency",IF(LOWER(TRIM(tblEncounters5[[#This Row],[Admission_Type]]))="planned","Planned","Review"))</f>
        <v>Emergency</v>
      </c>
      <c r="Y21" t="str">
        <f ca="1">IF(tblEncounters5[[#This Row],[Discharge_Date]]="","Missing Discharge",IF(tblEncounters5[[#This Row],[Discharge_Date]]&lt;tblEncounters5[[#This Row],[Admission_Date]],"Invalid Date","OK"))</f>
        <v>OK</v>
      </c>
      <c r="Z21">
        <f ca="1">IF(OR(tblEncounters5[[#This Row],[Admission_Date]]="",tblEncounters5[[#This Row],[Discharge_Date]]=""),"",tblEncounters5[[#This Row],[Discharge_Date]]-tblEncounters5[[#This Row],[Admission_Date]])</f>
        <v>10</v>
      </c>
      <c r="AA21" t="str">
        <f ca="1">IF(tblEncounters5[[#This Row],[Calculated_LOS]]="","Missing",IF(tblEncounters5[[#This Row],[Calculated_LOS]]=tblEncounters5[[#This Row],[LOS_Days]],"Match","Mismatch"))</f>
        <v>Mismatch</v>
      </c>
      <c r="AB21" t="str">
        <f>IF(COUNTIF(tblEncounters[Hospital_ID],tblEncounters5[[#This Row],[Hospital_ID]])=1,"Valid","Invalid")</f>
        <v>Invalid</v>
      </c>
      <c r="AC21" t="str">
        <f>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Invalid LOS</v>
      </c>
    </row>
    <row r="22" spans="1:29" hidden="1">
      <c r="A22" t="s">
        <v>103</v>
      </c>
      <c r="B22" t="s">
        <v>153</v>
      </c>
      <c r="C22" t="s">
        <v>11</v>
      </c>
      <c r="D22">
        <v>63</v>
      </c>
      <c r="E22" t="str">
        <f>IF(tblEncounters5[[#This Row],[Age]]&lt;30,"18-29",IF(tblEncounters5[[#This Row],[Age]]&lt;45,"30-44",IF(tblEncounters5[[#This Row],[Age]]&lt;60,"45-59",IF(tblEncounters5[[#This Row],[Age]]&lt;75,"60-74","75+"))))</f>
        <v>60-74</v>
      </c>
      <c r="F22" t="s">
        <v>183</v>
      </c>
      <c r="G22" t="s">
        <v>187</v>
      </c>
      <c r="H22" t="s">
        <v>191</v>
      </c>
      <c r="I22" s="10">
        <v>46112</v>
      </c>
      <c r="J22" s="10">
        <f ca="1">tblEncounters5[[#This Row],[Admission_Date]]+RANDBETWEEN(1,12)</f>
        <v>46124</v>
      </c>
      <c r="K22">
        <f ca="1">tblEncounters5[[#This Row],[Discharge_Date]]-tblEncounters5[[#This Row],[Admission_Date]]</f>
        <v>12</v>
      </c>
      <c r="L22" s="10" t="s">
        <v>53</v>
      </c>
      <c r="M22" s="9" t="s">
        <v>193</v>
      </c>
      <c r="N22" t="s">
        <v>53</v>
      </c>
      <c r="O22" t="s">
        <v>53</v>
      </c>
      <c r="P22" t="s">
        <v>54</v>
      </c>
      <c r="Q22" t="str">
        <f>_xlfn.XLOOKUP(tblEncounters5[[#This Row],[Hospital_ID]],Table1[Hospital_ID],Table1[Hospital_Name],"Not Found")</f>
        <v>Nova Medical Centre</v>
      </c>
      <c r="R22" t="str">
        <f>_xlfn.XLOOKUP(tblEncounters5[[#This Row],[Hospital_ID]],Table1[Hospital_ID],Table1[Country],"Not Found")</f>
        <v>Germany</v>
      </c>
      <c r="S22" t="str">
        <f>_xlfn.XLOOKUP(tblEncounters5[[#This Row],[Hospital_ID]],Table1[Hospital_ID],Table1[FHIR_Enabled],"Not Found")</f>
        <v>Yes</v>
      </c>
      <c r="T22" t="str">
        <f ca="1">IF(OR(tblEncounters5[[#This Row],[Age]]="",tblEncounters5[[#This Row],[Age]]&lt;18,tblEncounters5[[#This Row],[Age]]&gt;100,tblEncounters5[[#This Row],[Department]]="",tblEncounters5[[#This Row],[Documentation_Complete]]="",tblEncounters5[[#This Row],[LOS_Days]]&lt;0),"Review","OK")</f>
        <v>OK</v>
      </c>
      <c r="U22" t="str">
        <f>IF(COUNTIF(tblEncounters5[[#All],[Encounter_ID]],tblEncounters5[[#This Row],[Encounter_ID]])&gt;1,"Duplicate","Unique")</f>
        <v>Unique</v>
      </c>
      <c r="V22" t="str">
        <f>PROPER(TRIM(tblEncounters5[[#This Row],[Department]]))</f>
        <v>Neurology</v>
      </c>
      <c r="W22" t="str">
        <f>IF(LOWER(TRIM(tblEncounters5[[#This Row],[Sex]]))="male","Male",IF(LOWER(TRIM(tblEncounters5[[#This Row],[Sex]]))="female","Female","Review"))</f>
        <v>Male</v>
      </c>
      <c r="X22" t="str">
        <f>IF(OR(LOWER(TRIM(tblEncounters5[[#This Row],[Admission_Type]]))="emergency",LOWER(TRIM(tblEncounters5[[#This Row],[Admission_Type]]))="emerg"),"Emergency",IF(LOWER(TRIM(tblEncounters5[[#This Row],[Admission_Type]]))="planned","Planned","Review"))</f>
        <v>Emergency</v>
      </c>
      <c r="Y22" t="str">
        <f ca="1">IF(tblEncounters5[[#This Row],[Discharge_Date]]="","Missing Discharge",IF(tblEncounters5[[#This Row],[Discharge_Date]]&lt;tblEncounters5[[#This Row],[Admission_Date]],"Invalid Date","OK"))</f>
        <v>OK</v>
      </c>
      <c r="Z22">
        <f ca="1">IF(OR(tblEncounters5[[#This Row],[Admission_Date]]="",tblEncounters5[[#This Row],[Discharge_Date]]=""),"",tblEncounters5[[#This Row],[Discharge_Date]]-tblEncounters5[[#This Row],[Admission_Date]])</f>
        <v>12</v>
      </c>
      <c r="AA22" t="str">
        <f ca="1">IF(tblEncounters5[[#This Row],[Calculated_LOS]]="","Missing",IF(tblEncounters5[[#This Row],[Calculated_LOS]]=tblEncounters5[[#This Row],[LOS_Days]],"Match","Mismatch"))</f>
        <v>Match</v>
      </c>
      <c r="AB22" t="str">
        <f>IF(COUNTIF(tblEncounters[Hospital_ID],tblEncounters5[[#This Row],[Hospital_ID]])=1,"Valid","Invalid")</f>
        <v>Invalid</v>
      </c>
      <c r="AC22"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23" spans="1:29" hidden="1">
      <c r="A23" t="s">
        <v>104</v>
      </c>
      <c r="B23" t="s">
        <v>154</v>
      </c>
      <c r="C23" t="s">
        <v>12</v>
      </c>
      <c r="D23">
        <v>56</v>
      </c>
      <c r="E23" t="str">
        <f>IF(tblEncounters5[[#This Row],[Age]]&lt;30,"18-29",IF(tblEncounters5[[#This Row],[Age]]&lt;45,"30-44",IF(tblEncounters5[[#This Row],[Age]]&lt;60,"45-59",IF(tblEncounters5[[#This Row],[Age]]&lt;75,"60-74","75+"))))</f>
        <v>45-59</v>
      </c>
      <c r="F23" t="s">
        <v>184</v>
      </c>
      <c r="G23" t="s">
        <v>188</v>
      </c>
      <c r="H23" t="s">
        <v>192</v>
      </c>
      <c r="I23" s="10">
        <v>46093</v>
      </c>
      <c r="J23" s="10">
        <f ca="1">tblEncounters5[[#This Row],[Admission_Date]]+RANDBETWEEN(1,12)</f>
        <v>46094</v>
      </c>
      <c r="K23">
        <f ca="1">tblEncounters5[[#This Row],[Discharge_Date]]-tblEncounters5[[#This Row],[Admission_Date]]</f>
        <v>1</v>
      </c>
      <c r="L23" s="10" t="s">
        <v>54</v>
      </c>
      <c r="M23" s="9" t="s">
        <v>194</v>
      </c>
      <c r="N23" t="s">
        <v>53</v>
      </c>
      <c r="O23" t="s">
        <v>54</v>
      </c>
      <c r="P23" t="s">
        <v>54</v>
      </c>
      <c r="Q23" t="str">
        <f>_xlfn.XLOOKUP(tblEncounters5[[#This Row],[Hospital_ID]],Table1[Hospital_ID],Table1[Hospital_Name],"Not Found")</f>
        <v>Aurora Medical Centre</v>
      </c>
      <c r="R23" t="str">
        <f>_xlfn.XLOOKUP(tblEncounters5[[#This Row],[Hospital_ID]],Table1[Hospital_ID],Table1[Country],"Not Found")</f>
        <v>Netherland</v>
      </c>
      <c r="S23" t="str">
        <f>_xlfn.XLOOKUP(tblEncounters5[[#This Row],[Hospital_ID]],Table1[Hospital_ID],Table1[FHIR_Enabled],"Not Found")</f>
        <v>Yes</v>
      </c>
      <c r="T23" t="str">
        <f ca="1">IF(OR(tblEncounters5[[#This Row],[Age]]="",tblEncounters5[[#This Row],[Age]]&lt;18,tblEncounters5[[#This Row],[Age]]&gt;100,tblEncounters5[[#This Row],[Department]]="",tblEncounters5[[#This Row],[Documentation_Complete]]="",tblEncounters5[[#This Row],[LOS_Days]]&lt;0),"Review","OK")</f>
        <v>OK</v>
      </c>
      <c r="U23" t="str">
        <f>IF(COUNTIF(tblEncounters5[[#All],[Encounter_ID]],tblEncounters5[[#This Row],[Encounter_ID]])&gt;1,"Duplicate","Unique")</f>
        <v>Unique</v>
      </c>
      <c r="V23" t="str">
        <f>PROPER(TRIM(tblEncounters5[[#This Row],[Department]]))</f>
        <v>Orthopaedics</v>
      </c>
      <c r="W23" t="str">
        <f>IF(LOWER(TRIM(tblEncounters5[[#This Row],[Sex]]))="male","Male",IF(LOWER(TRIM(tblEncounters5[[#This Row],[Sex]]))="female","Female","Review"))</f>
        <v>Female</v>
      </c>
      <c r="X23" t="str">
        <f>IF(OR(LOWER(TRIM(tblEncounters5[[#This Row],[Admission_Type]]))="emergency",LOWER(TRIM(tblEncounters5[[#This Row],[Admission_Type]]))="emerg"),"Emergency",IF(LOWER(TRIM(tblEncounters5[[#This Row],[Admission_Type]]))="planned","Planned","Review"))</f>
        <v>Planned</v>
      </c>
      <c r="Y23" t="str">
        <f ca="1">IF(tblEncounters5[[#This Row],[Discharge_Date]]="","Missing Discharge",IF(tblEncounters5[[#This Row],[Discharge_Date]]&lt;tblEncounters5[[#This Row],[Admission_Date]],"Invalid Date","OK"))</f>
        <v>OK</v>
      </c>
      <c r="Z23">
        <f ca="1">IF(OR(tblEncounters5[[#This Row],[Admission_Date]]="",tblEncounters5[[#This Row],[Discharge_Date]]=""),"",tblEncounters5[[#This Row],[Discharge_Date]]-tblEncounters5[[#This Row],[Admission_Date]])</f>
        <v>1</v>
      </c>
      <c r="AA23" t="str">
        <f ca="1">IF(tblEncounters5[[#This Row],[Calculated_LOS]]="","Missing",IF(tblEncounters5[[#This Row],[Calculated_LOS]]=tblEncounters5[[#This Row],[LOS_Days]],"Match","Mismatch"))</f>
        <v>Match</v>
      </c>
      <c r="AB23" t="str">
        <f>IF(COUNTIF(tblEncounters[Hospital_ID],tblEncounters5[[#This Row],[Hospital_ID]])=1,"Valid","Invalid")</f>
        <v>Invalid</v>
      </c>
      <c r="AC23"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24" spans="1:29" hidden="1">
      <c r="A24" t="s">
        <v>105</v>
      </c>
      <c r="B24" t="s">
        <v>155</v>
      </c>
      <c r="C24" t="s">
        <v>13</v>
      </c>
      <c r="D24">
        <v>85</v>
      </c>
      <c r="E24" t="str">
        <f>IF(tblEncounters5[[#This Row],[Age]]&lt;30,"18-29",IF(tblEncounters5[[#This Row],[Age]]&lt;45,"30-44",IF(tblEncounters5[[#This Row],[Age]]&lt;60,"45-59",IF(tblEncounters5[[#This Row],[Age]]&lt;75,"60-74","75+"))))</f>
        <v>75+</v>
      </c>
      <c r="F24" t="s">
        <v>184</v>
      </c>
      <c r="G24" t="s">
        <v>189</v>
      </c>
      <c r="H24" t="s">
        <v>191</v>
      </c>
      <c r="I24" s="10">
        <v>46025</v>
      </c>
      <c r="J24" s="10">
        <f ca="1">tblEncounters5[[#This Row],[Admission_Date]]+RANDBETWEEN(1,12)</f>
        <v>46027</v>
      </c>
      <c r="K24">
        <f ca="1">tblEncounters5[[#This Row],[Discharge_Date]]-tblEncounters5[[#This Row],[Admission_Date]]</f>
        <v>2</v>
      </c>
      <c r="L24" s="10" t="s">
        <v>54</v>
      </c>
      <c r="M24" t="s">
        <v>195</v>
      </c>
      <c r="N24" t="s">
        <v>53</v>
      </c>
      <c r="O24" t="s">
        <v>54</v>
      </c>
      <c r="P24" t="s">
        <v>54</v>
      </c>
      <c r="Q24" t="str">
        <f>_xlfn.XLOOKUP(tblEncounters5[[#This Row],[Hospital_ID]],Table1[Hospital_ID],Table1[Hospital_Name],"Not Found")</f>
        <v>Helis General Hospital</v>
      </c>
      <c r="R24" t="str">
        <f>_xlfn.XLOOKUP(tblEncounters5[[#This Row],[Hospital_ID]],Table1[Hospital_ID],Table1[Country],"Not Found")</f>
        <v>Austria</v>
      </c>
      <c r="S24" t="str">
        <f>_xlfn.XLOOKUP(tblEncounters5[[#This Row],[Hospital_ID]],Table1[Hospital_ID],Table1[FHIR_Enabled],"Not Found")</f>
        <v>Partial</v>
      </c>
      <c r="T24" t="str">
        <f ca="1">IF(OR(tblEncounters5[[#This Row],[Age]]="",tblEncounters5[[#This Row],[Age]]&lt;18,tblEncounters5[[#This Row],[Age]]&gt;100,tblEncounters5[[#This Row],[Department]]="",tblEncounters5[[#This Row],[Documentation_Complete]]="",tblEncounters5[[#This Row],[LOS_Days]]&lt;0),"Review","OK")</f>
        <v>OK</v>
      </c>
      <c r="U24" t="str">
        <f>IF(COUNTIF(tblEncounters5[[#All],[Encounter_ID]],tblEncounters5[[#This Row],[Encounter_ID]])&gt;1,"Duplicate","Unique")</f>
        <v>Unique</v>
      </c>
      <c r="V24" t="str">
        <f>PROPER(TRIM(tblEncounters5[[#This Row],[Department]]))</f>
        <v>Psychiatry</v>
      </c>
      <c r="W24" t="str">
        <f>IF(LOWER(TRIM(tblEncounters5[[#This Row],[Sex]]))="male","Male",IF(LOWER(TRIM(tblEncounters5[[#This Row],[Sex]]))="female","Female","Review"))</f>
        <v>Female</v>
      </c>
      <c r="X24" t="str">
        <f>IF(OR(LOWER(TRIM(tblEncounters5[[#This Row],[Admission_Type]]))="emergency",LOWER(TRIM(tblEncounters5[[#This Row],[Admission_Type]]))="emerg"),"Emergency",IF(LOWER(TRIM(tblEncounters5[[#This Row],[Admission_Type]]))="planned","Planned","Review"))</f>
        <v>Emergency</v>
      </c>
      <c r="Y24" t="str">
        <f ca="1">IF(tblEncounters5[[#This Row],[Discharge_Date]]="","Missing Discharge",IF(tblEncounters5[[#This Row],[Discharge_Date]]&lt;tblEncounters5[[#This Row],[Admission_Date]],"Invalid Date","OK"))</f>
        <v>OK</v>
      </c>
      <c r="Z24">
        <f ca="1">IF(OR(tblEncounters5[[#This Row],[Admission_Date]]="",tblEncounters5[[#This Row],[Discharge_Date]]=""),"",tblEncounters5[[#This Row],[Discharge_Date]]-tblEncounters5[[#This Row],[Admission_Date]])</f>
        <v>2</v>
      </c>
      <c r="AA24" t="str">
        <f ca="1">IF(tblEncounters5[[#This Row],[Calculated_LOS]]="","Missing",IF(tblEncounters5[[#This Row],[Calculated_LOS]]=tblEncounters5[[#This Row],[LOS_Days]],"Match","Mismatch"))</f>
        <v>Match</v>
      </c>
      <c r="AB24" t="str">
        <f>IF(COUNTIF(tblEncounters[Hospital_ID],tblEncounters5[[#This Row],[Hospital_ID]])=1,"Valid","Invalid")</f>
        <v>Invalid</v>
      </c>
      <c r="AC24"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25" spans="1:29" hidden="1">
      <c r="A25" t="s">
        <v>106</v>
      </c>
      <c r="B25" t="s">
        <v>156</v>
      </c>
      <c r="C25" t="s">
        <v>14</v>
      </c>
      <c r="D25">
        <v>49</v>
      </c>
      <c r="E25" t="str">
        <f>IF(tblEncounters5[[#This Row],[Age]]&lt;30,"18-29",IF(tblEncounters5[[#This Row],[Age]]&lt;45,"30-44",IF(tblEncounters5[[#This Row],[Age]]&lt;60,"45-59",IF(tblEncounters5[[#This Row],[Age]]&lt;75,"60-74","75+"))))</f>
        <v>45-59</v>
      </c>
      <c r="F25" t="s">
        <v>210</v>
      </c>
      <c r="G25" t="s">
        <v>190</v>
      </c>
      <c r="H25" t="s">
        <v>192</v>
      </c>
      <c r="I25" s="10">
        <v>46071</v>
      </c>
      <c r="J25" s="10">
        <f ca="1">tblEncounters5[[#This Row],[Admission_Date]]+RANDBETWEEN(1,12)</f>
        <v>46072</v>
      </c>
      <c r="K25">
        <f ca="1">tblEncounters5[[#This Row],[Discharge_Date]]-tblEncounters5[[#This Row],[Admission_Date]]</f>
        <v>1</v>
      </c>
      <c r="L25" s="10" t="s">
        <v>54</v>
      </c>
      <c r="M25" s="9" t="s">
        <v>196</v>
      </c>
      <c r="N25" t="s">
        <v>54</v>
      </c>
      <c r="O25" t="s">
        <v>54</v>
      </c>
      <c r="P25" t="s">
        <v>54</v>
      </c>
      <c r="Q25" t="str">
        <f>_xlfn.XLOOKUP(tblEncounters5[[#This Row],[Hospital_ID]],Table1[Hospital_ID],Table1[Hospital_Name],"Not Found")</f>
        <v>St. Clara Medical Centre</v>
      </c>
      <c r="R25" t="str">
        <f>_xlfn.XLOOKUP(tblEncounters5[[#This Row],[Hospital_ID]],Table1[Hospital_ID],Table1[Country],"Not Found")</f>
        <v>France</v>
      </c>
      <c r="S25" t="str">
        <f>_xlfn.XLOOKUP(tblEncounters5[[#This Row],[Hospital_ID]],Table1[Hospital_ID],Table1[FHIR_Enabled],"Not Found")</f>
        <v>Yes</v>
      </c>
      <c r="T25" t="str">
        <f ca="1">IF(OR(tblEncounters5[[#This Row],[Age]]="",tblEncounters5[[#This Row],[Age]]&lt;18,tblEncounters5[[#This Row],[Age]]&gt;100,tblEncounters5[[#This Row],[Department]]="",tblEncounters5[[#This Row],[Documentation_Complete]]="",tblEncounters5[[#This Row],[LOS_Days]]&lt;0),"Review","OK")</f>
        <v>OK</v>
      </c>
      <c r="U25" t="str">
        <f>IF(COUNTIF(tblEncounters5[[#All],[Encounter_ID]],tblEncounters5[[#This Row],[Encounter_ID]])&gt;1,"Duplicate","Unique")</f>
        <v>Unique</v>
      </c>
      <c r="V25" t="str">
        <f>PROPER(TRIM(tblEncounters5[[#This Row],[Department]]))</f>
        <v>General Surgery</v>
      </c>
      <c r="W25" t="str">
        <f>IF(LOWER(TRIM(tblEncounters5[[#This Row],[Sex]]))="male","Male",IF(LOWER(TRIM(tblEncounters5[[#This Row],[Sex]]))="female","Female","Review"))</f>
        <v>Male</v>
      </c>
      <c r="X25" t="str">
        <f>IF(OR(LOWER(TRIM(tblEncounters5[[#This Row],[Admission_Type]]))="emergency",LOWER(TRIM(tblEncounters5[[#This Row],[Admission_Type]]))="emerg"),"Emergency",IF(LOWER(TRIM(tblEncounters5[[#This Row],[Admission_Type]]))="planned","Planned","Review"))</f>
        <v>Planned</v>
      </c>
      <c r="Y25" t="str">
        <f ca="1">IF(tblEncounters5[[#This Row],[Discharge_Date]]="","Missing Discharge",IF(tblEncounters5[[#This Row],[Discharge_Date]]&lt;tblEncounters5[[#This Row],[Admission_Date]],"Invalid Date","OK"))</f>
        <v>OK</v>
      </c>
      <c r="Z25">
        <f ca="1">IF(OR(tblEncounters5[[#This Row],[Admission_Date]]="",tblEncounters5[[#This Row],[Discharge_Date]]=""),"",tblEncounters5[[#This Row],[Discharge_Date]]-tblEncounters5[[#This Row],[Admission_Date]])</f>
        <v>1</v>
      </c>
      <c r="AA25" t="str">
        <f ca="1">IF(tblEncounters5[[#This Row],[Calculated_LOS]]="","Missing",IF(tblEncounters5[[#This Row],[Calculated_LOS]]=tblEncounters5[[#This Row],[LOS_Days]],"Match","Mismatch"))</f>
        <v>Match</v>
      </c>
      <c r="AB25" t="str">
        <f>IF(COUNTIF(tblEncounters[Hospital_ID],tblEncounters5[[#This Row],[Hospital_ID]])=1,"Valid","Invalid")</f>
        <v>Invalid</v>
      </c>
      <c r="AC25"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26" spans="1:29" hidden="1">
      <c r="A26" t="s">
        <v>107</v>
      </c>
      <c r="B26" t="s">
        <v>157</v>
      </c>
      <c r="C26" t="s">
        <v>15</v>
      </c>
      <c r="D26">
        <v>25</v>
      </c>
      <c r="E26" t="str">
        <f>IF(tblEncounters5[[#This Row],[Age]]&lt;30,"18-29",IF(tblEncounters5[[#This Row],[Age]]&lt;45,"30-44",IF(tblEncounters5[[#This Row],[Age]]&lt;60,"45-59",IF(tblEncounters5[[#This Row],[Age]]&lt;75,"60-74","75+"))))</f>
        <v>18-29</v>
      </c>
      <c r="F26" t="s">
        <v>184</v>
      </c>
      <c r="G26" t="s">
        <v>185</v>
      </c>
      <c r="H26" t="s">
        <v>191</v>
      </c>
      <c r="I26" s="10">
        <v>46100</v>
      </c>
      <c r="J26" s="10">
        <f ca="1">tblEncounters5[[#This Row],[Admission_Date]]+RANDBETWEEN(1,12)</f>
        <v>46104</v>
      </c>
      <c r="K26">
        <f ca="1">tblEncounters5[[#This Row],[Discharge_Date]]-tblEncounters5[[#This Row],[Admission_Date]]</f>
        <v>4</v>
      </c>
      <c r="L26" s="10" t="s">
        <v>54</v>
      </c>
      <c r="M26" s="9" t="s">
        <v>197</v>
      </c>
      <c r="N26" t="s">
        <v>53</v>
      </c>
      <c r="O26" t="s">
        <v>54</v>
      </c>
      <c r="P26" t="s">
        <v>54</v>
      </c>
      <c r="Q26" t="str">
        <f>_xlfn.XLOOKUP(tblEncounters5[[#This Row],[Hospital_ID]],Table1[Hospital_ID],Table1[Hospital_Name],"Not Found")</f>
        <v>Europa Health Institute</v>
      </c>
      <c r="R26" t="str">
        <f>_xlfn.XLOOKUP(tblEncounters5[[#This Row],[Hospital_ID]],Table1[Hospital_ID],Table1[Country],"Not Found")</f>
        <v xml:space="preserve">Belgium </v>
      </c>
      <c r="S26" t="str">
        <f>_xlfn.XLOOKUP(tblEncounters5[[#This Row],[Hospital_ID]],Table1[Hospital_ID],Table1[FHIR_Enabled],"Not Found")</f>
        <v>Yes</v>
      </c>
      <c r="T26" t="str">
        <f ca="1">IF(OR(tblEncounters5[[#This Row],[Age]]="",tblEncounters5[[#This Row],[Age]]&lt;18,tblEncounters5[[#This Row],[Age]]&gt;100,tblEncounters5[[#This Row],[Department]]="",tblEncounters5[[#This Row],[Documentation_Complete]]="",tblEncounters5[[#This Row],[LOS_Days]]&lt;0),"Review","OK")</f>
        <v>OK</v>
      </c>
      <c r="U26" t="str">
        <f>IF(COUNTIF(tblEncounters5[[#All],[Encounter_ID]],tblEncounters5[[#This Row],[Encounter_ID]])&gt;1,"Duplicate","Unique")</f>
        <v>Unique</v>
      </c>
      <c r="V26" t="str">
        <f>PROPER(TRIM(tblEncounters5[[#This Row],[Department]]))</f>
        <v>General Medicine</v>
      </c>
      <c r="W26" t="str">
        <f>IF(LOWER(TRIM(tblEncounters5[[#This Row],[Sex]]))="male","Male",IF(LOWER(TRIM(tblEncounters5[[#This Row],[Sex]]))="female","Female","Review"))</f>
        <v>Female</v>
      </c>
      <c r="X26" t="str">
        <f>IF(OR(LOWER(TRIM(tblEncounters5[[#This Row],[Admission_Type]]))="emergency",LOWER(TRIM(tblEncounters5[[#This Row],[Admission_Type]]))="emerg"),"Emergency",IF(LOWER(TRIM(tblEncounters5[[#This Row],[Admission_Type]]))="planned","Planned","Review"))</f>
        <v>Emergency</v>
      </c>
      <c r="Y26" t="str">
        <f ca="1">IF(tblEncounters5[[#This Row],[Discharge_Date]]="","Missing Discharge",IF(tblEncounters5[[#This Row],[Discharge_Date]]&lt;tblEncounters5[[#This Row],[Admission_Date]],"Invalid Date","OK"))</f>
        <v>OK</v>
      </c>
      <c r="Z26">
        <f ca="1">IF(OR(tblEncounters5[[#This Row],[Admission_Date]]="",tblEncounters5[[#This Row],[Discharge_Date]]=""),"",tblEncounters5[[#This Row],[Discharge_Date]]-tblEncounters5[[#This Row],[Admission_Date]])</f>
        <v>4</v>
      </c>
      <c r="AA26" t="str">
        <f ca="1">IF(tblEncounters5[[#This Row],[Calculated_LOS]]="","Missing",IF(tblEncounters5[[#This Row],[Calculated_LOS]]=tblEncounters5[[#This Row],[LOS_Days]],"Match","Mismatch"))</f>
        <v>Match</v>
      </c>
      <c r="AB26" t="str">
        <f>IF(COUNTIF(tblEncounters[Hospital_ID],tblEncounters5[[#This Row],[Hospital_ID]])=1,"Valid","Invalid")</f>
        <v>Invalid</v>
      </c>
      <c r="AC26"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27" spans="1:29" hidden="1">
      <c r="A27" t="s">
        <v>108</v>
      </c>
      <c r="B27" t="s">
        <v>158</v>
      </c>
      <c r="C27" t="s">
        <v>16</v>
      </c>
      <c r="D27">
        <v>45</v>
      </c>
      <c r="E27" t="str">
        <f>IF(tblEncounters5[[#This Row],[Age]]&lt;30,"18-29",IF(tblEncounters5[[#This Row],[Age]]&lt;45,"30-44",IF(tblEncounters5[[#This Row],[Age]]&lt;60,"45-59",IF(tblEncounters5[[#This Row],[Age]]&lt;75,"60-74","75+"))))</f>
        <v>45-59</v>
      </c>
      <c r="F27" t="s">
        <v>183</v>
      </c>
      <c r="G27" t="s">
        <v>214</v>
      </c>
      <c r="H27" t="s">
        <v>192</v>
      </c>
      <c r="I27" s="10">
        <v>46041</v>
      </c>
      <c r="J27" s="10">
        <f ca="1">tblEncounters5[[#This Row],[Admission_Date]]+RANDBETWEEN(1,12)</f>
        <v>46046</v>
      </c>
      <c r="K27">
        <f ca="1">tblEncounters5[[#This Row],[Discharge_Date]]-tblEncounters5[[#This Row],[Admission_Date]]</f>
        <v>5</v>
      </c>
      <c r="L27" s="10" t="s">
        <v>54</v>
      </c>
      <c r="M27" s="9" t="s">
        <v>193</v>
      </c>
      <c r="N27" t="s">
        <v>53</v>
      </c>
      <c r="O27" t="s">
        <v>54</v>
      </c>
      <c r="P27" t="s">
        <v>53</v>
      </c>
      <c r="Q27" t="str">
        <f>_xlfn.XLOOKUP(tblEncounters5[[#This Row],[Hospital_ID]],Table1[Hospital_ID],Table1[Hospital_Name],"Not Found")</f>
        <v>Marbel General Hospital</v>
      </c>
      <c r="R27" t="str">
        <f>_xlfn.XLOOKUP(tblEncounters5[[#This Row],[Hospital_ID]],Table1[Hospital_ID],Table1[Country],"Not Found")</f>
        <v>Sweden</v>
      </c>
      <c r="S27" t="str">
        <f>_xlfn.XLOOKUP(tblEncounters5[[#This Row],[Hospital_ID]],Table1[Hospital_ID],Table1[FHIR_Enabled],"Not Found")</f>
        <v>Yes</v>
      </c>
      <c r="T27" t="str">
        <f ca="1">IF(OR(tblEncounters5[[#This Row],[Age]]="",tblEncounters5[[#This Row],[Age]]&lt;18,tblEncounters5[[#This Row],[Age]]&gt;100,tblEncounters5[[#This Row],[Department]]="",tblEncounters5[[#This Row],[Documentation_Complete]]="",tblEncounters5[[#This Row],[LOS_Days]]&lt;0),"Review","OK")</f>
        <v>OK</v>
      </c>
      <c r="U27" t="str">
        <f>IF(COUNTIF(tblEncounters5[[#All],[Encounter_ID]],tblEncounters5[[#This Row],[Encounter_ID]])&gt;1,"Duplicate","Unique")</f>
        <v>Unique</v>
      </c>
      <c r="V27" t="str">
        <f>PROPER(TRIM(tblEncounters5[[#This Row],[Department]]))</f>
        <v>Cardiology</v>
      </c>
      <c r="W27" t="str">
        <f>IF(LOWER(TRIM(tblEncounters5[[#This Row],[Sex]]))="male","Male",IF(LOWER(TRIM(tblEncounters5[[#This Row],[Sex]]))="female","Female","Review"))</f>
        <v>Male</v>
      </c>
      <c r="X27" t="str">
        <f>IF(OR(LOWER(TRIM(tblEncounters5[[#This Row],[Admission_Type]]))="emergency",LOWER(TRIM(tblEncounters5[[#This Row],[Admission_Type]]))="emerg"),"Emergency",IF(LOWER(TRIM(tblEncounters5[[#This Row],[Admission_Type]]))="planned","Planned","Review"))</f>
        <v>Planned</v>
      </c>
      <c r="Y27" t="str">
        <f ca="1">IF(tblEncounters5[[#This Row],[Discharge_Date]]="","Missing Discharge",IF(tblEncounters5[[#This Row],[Discharge_Date]]&lt;tblEncounters5[[#This Row],[Admission_Date]],"Invalid Date","OK"))</f>
        <v>OK</v>
      </c>
      <c r="Z27">
        <f ca="1">IF(OR(tblEncounters5[[#This Row],[Admission_Date]]="",tblEncounters5[[#This Row],[Discharge_Date]]=""),"",tblEncounters5[[#This Row],[Discharge_Date]]-tblEncounters5[[#This Row],[Admission_Date]])</f>
        <v>5</v>
      </c>
      <c r="AA27" t="str">
        <f ca="1">IF(tblEncounters5[[#This Row],[Calculated_LOS]]="","Missing",IF(tblEncounters5[[#This Row],[Calculated_LOS]]=tblEncounters5[[#This Row],[LOS_Days]],"Match","Mismatch"))</f>
        <v>Match</v>
      </c>
      <c r="AB27" t="str">
        <f>IF(COUNTIF(tblEncounters[Hospital_ID],tblEncounters5[[#This Row],[Hospital_ID]])=1,"Valid","Invalid")</f>
        <v>Invalid</v>
      </c>
      <c r="AC27"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28" spans="1:29" hidden="1">
      <c r="A28" t="s">
        <v>109</v>
      </c>
      <c r="B28" t="s">
        <v>159</v>
      </c>
      <c r="C28" t="s">
        <v>17</v>
      </c>
      <c r="D28">
        <v>48</v>
      </c>
      <c r="E28" t="str">
        <f>IF(tblEncounters5[[#This Row],[Age]]&lt;30,"18-29",IF(tblEncounters5[[#This Row],[Age]]&lt;45,"30-44",IF(tblEncounters5[[#This Row],[Age]]&lt;60,"45-59",IF(tblEncounters5[[#This Row],[Age]]&lt;75,"60-74","75+"))))</f>
        <v>45-59</v>
      </c>
      <c r="F28" t="s">
        <v>184</v>
      </c>
      <c r="G28" t="s">
        <v>187</v>
      </c>
      <c r="H28" t="s">
        <v>191</v>
      </c>
      <c r="I28" s="10">
        <v>46079</v>
      </c>
      <c r="J28" s="10">
        <f ca="1">tblEncounters5[[#This Row],[Admission_Date]]+RANDBETWEEN(1,12)</f>
        <v>46087</v>
      </c>
      <c r="K28">
        <f ca="1">tblEncounters5[[#This Row],[Discharge_Date]]-tblEncounters5[[#This Row],[Admission_Date]]</f>
        <v>8</v>
      </c>
      <c r="L28" s="10" t="s">
        <v>53</v>
      </c>
      <c r="M28" s="9" t="s">
        <v>194</v>
      </c>
      <c r="N28" t="s">
        <v>53</v>
      </c>
      <c r="O28" t="s">
        <v>53</v>
      </c>
      <c r="P28" t="s">
        <v>53</v>
      </c>
      <c r="Q28" t="str">
        <f>_xlfn.XLOOKUP(tblEncounters5[[#This Row],[Hospital_ID]],Table1[Hospital_ID],Table1[Hospital_Name],"Not Found")</f>
        <v>Helix Medical Centre</v>
      </c>
      <c r="R28" t="str">
        <f>_xlfn.XLOOKUP(tblEncounters5[[#This Row],[Hospital_ID]],Table1[Hospital_ID],Table1[Country],"Not Found")</f>
        <v>Denmark</v>
      </c>
      <c r="S28" t="str">
        <f>_xlfn.XLOOKUP(tblEncounters5[[#This Row],[Hospital_ID]],Table1[Hospital_ID],Table1[FHIR_Enabled],"Not Found")</f>
        <v>Partial</v>
      </c>
      <c r="T28" t="str">
        <f ca="1">IF(OR(tblEncounters5[[#This Row],[Age]]="",tblEncounters5[[#This Row],[Age]]&lt;18,tblEncounters5[[#This Row],[Age]]&gt;100,tblEncounters5[[#This Row],[Department]]="",tblEncounters5[[#This Row],[Documentation_Complete]]="",tblEncounters5[[#This Row],[LOS_Days]]&lt;0),"Review","OK")</f>
        <v>OK</v>
      </c>
      <c r="U28" t="str">
        <f>IF(COUNTIF(tblEncounters5[[#All],[Encounter_ID]],tblEncounters5[[#This Row],[Encounter_ID]])&gt;1,"Duplicate","Unique")</f>
        <v>Unique</v>
      </c>
      <c r="V28" t="str">
        <f>PROPER(TRIM(tblEncounters5[[#This Row],[Department]]))</f>
        <v>Neurology</v>
      </c>
      <c r="W28" t="str">
        <f>IF(LOWER(TRIM(tblEncounters5[[#This Row],[Sex]]))="male","Male",IF(LOWER(TRIM(tblEncounters5[[#This Row],[Sex]]))="female","Female","Review"))</f>
        <v>Female</v>
      </c>
      <c r="X28" t="str">
        <f>IF(OR(LOWER(TRIM(tblEncounters5[[#This Row],[Admission_Type]]))="emergency",LOWER(TRIM(tblEncounters5[[#This Row],[Admission_Type]]))="emerg"),"Emergency",IF(LOWER(TRIM(tblEncounters5[[#This Row],[Admission_Type]]))="planned","Planned","Review"))</f>
        <v>Emergency</v>
      </c>
      <c r="Y28" t="str">
        <f ca="1">IF(tblEncounters5[[#This Row],[Discharge_Date]]="","Missing Discharge",IF(tblEncounters5[[#This Row],[Discharge_Date]]&lt;tblEncounters5[[#This Row],[Admission_Date]],"Invalid Date","OK"))</f>
        <v>OK</v>
      </c>
      <c r="Z28">
        <f ca="1">IF(OR(tblEncounters5[[#This Row],[Admission_Date]]="",tblEncounters5[[#This Row],[Discharge_Date]]=""),"",tblEncounters5[[#This Row],[Discharge_Date]]-tblEncounters5[[#This Row],[Admission_Date]])</f>
        <v>8</v>
      </c>
      <c r="AA28" t="str">
        <f ca="1">IF(tblEncounters5[[#This Row],[Calculated_LOS]]="","Missing",IF(tblEncounters5[[#This Row],[Calculated_LOS]]=tblEncounters5[[#This Row],[LOS_Days]],"Match","Mismatch"))</f>
        <v>Match</v>
      </c>
      <c r="AB28" t="str">
        <f>IF(COUNTIF(tblEncounters[Hospital_ID],tblEncounters5[[#This Row],[Hospital_ID]])=1,"Valid","Invalid")</f>
        <v>Invalid</v>
      </c>
      <c r="AC28"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29" spans="1:29" hidden="1">
      <c r="A29" t="s">
        <v>110</v>
      </c>
      <c r="B29" t="s">
        <v>160</v>
      </c>
      <c r="C29" t="s">
        <v>18</v>
      </c>
      <c r="D29">
        <v>53</v>
      </c>
      <c r="E29" t="str">
        <f>IF(tblEncounters5[[#This Row],[Age]]&lt;30,"18-29",IF(tblEncounters5[[#This Row],[Age]]&lt;45,"30-44",IF(tblEncounters5[[#This Row],[Age]]&lt;60,"45-59",IF(tblEncounters5[[#This Row],[Age]]&lt;75,"60-74","75+"))))</f>
        <v>45-59</v>
      </c>
      <c r="F29" t="s">
        <v>184</v>
      </c>
      <c r="G29" t="s">
        <v>188</v>
      </c>
      <c r="H29" t="s">
        <v>192</v>
      </c>
      <c r="I29" s="10">
        <v>46052</v>
      </c>
      <c r="J29" s="10">
        <f ca="1">tblEncounters5[[#This Row],[Admission_Date]]+RANDBETWEEN(1,12)</f>
        <v>46057</v>
      </c>
      <c r="K29">
        <f ca="1">tblEncounters5[[#This Row],[Discharge_Date]]-tblEncounters5[[#This Row],[Admission_Date]]</f>
        <v>5</v>
      </c>
      <c r="L29" s="10" t="s">
        <v>54</v>
      </c>
      <c r="M29" t="s">
        <v>195</v>
      </c>
      <c r="N29" t="s">
        <v>53</v>
      </c>
      <c r="O29" t="s">
        <v>54</v>
      </c>
      <c r="P29" t="s">
        <v>54</v>
      </c>
      <c r="Q29" t="str">
        <f>_xlfn.XLOOKUP(tblEncounters5[[#This Row],[Hospital_ID]],Table1[Hospital_ID],Table1[Hospital_Name],"Not Found")</f>
        <v>St.Aldric University Hospital</v>
      </c>
      <c r="R29" t="str">
        <f>_xlfn.XLOOKUP(tblEncounters5[[#This Row],[Hospital_ID]],Table1[Hospital_ID],Table1[Country],"Not Found")</f>
        <v>Finland</v>
      </c>
      <c r="S29" t="str">
        <f>_xlfn.XLOOKUP(tblEncounters5[[#This Row],[Hospital_ID]],Table1[Hospital_ID],Table1[FHIR_Enabled],"Not Found")</f>
        <v>Yes</v>
      </c>
      <c r="T29" t="str">
        <f ca="1">IF(OR(tblEncounters5[[#This Row],[Age]]="",tblEncounters5[[#This Row],[Age]]&lt;18,tblEncounters5[[#This Row],[Age]]&gt;100,tblEncounters5[[#This Row],[Department]]="",tblEncounters5[[#This Row],[Documentation_Complete]]="",tblEncounters5[[#This Row],[LOS_Days]]&lt;0),"Review","OK")</f>
        <v>OK</v>
      </c>
      <c r="U29" t="str">
        <f>IF(COUNTIF(tblEncounters5[[#All],[Encounter_ID]],tblEncounters5[[#This Row],[Encounter_ID]])&gt;1,"Duplicate","Unique")</f>
        <v>Unique</v>
      </c>
      <c r="V29" t="str">
        <f>PROPER(TRIM(tblEncounters5[[#This Row],[Department]]))</f>
        <v>Orthopaedics</v>
      </c>
      <c r="W29" t="str">
        <f>IF(LOWER(TRIM(tblEncounters5[[#This Row],[Sex]]))="male","Male",IF(LOWER(TRIM(tblEncounters5[[#This Row],[Sex]]))="female","Female","Review"))</f>
        <v>Female</v>
      </c>
      <c r="X29" t="str">
        <f>IF(OR(LOWER(TRIM(tblEncounters5[[#This Row],[Admission_Type]]))="emergency",LOWER(TRIM(tblEncounters5[[#This Row],[Admission_Type]]))="emerg"),"Emergency",IF(LOWER(TRIM(tblEncounters5[[#This Row],[Admission_Type]]))="planned","Planned","Review"))</f>
        <v>Planned</v>
      </c>
      <c r="Y29" t="str">
        <f ca="1">IF(tblEncounters5[[#This Row],[Discharge_Date]]="","Missing Discharge",IF(tblEncounters5[[#This Row],[Discharge_Date]]&lt;tblEncounters5[[#This Row],[Admission_Date]],"Invalid Date","OK"))</f>
        <v>OK</v>
      </c>
      <c r="Z29">
        <f ca="1">IF(OR(tblEncounters5[[#This Row],[Admission_Date]]="",tblEncounters5[[#This Row],[Discharge_Date]]=""),"",tblEncounters5[[#This Row],[Discharge_Date]]-tblEncounters5[[#This Row],[Admission_Date]])</f>
        <v>5</v>
      </c>
      <c r="AA29" t="str">
        <f ca="1">IF(tblEncounters5[[#This Row],[Calculated_LOS]]="","Missing",IF(tblEncounters5[[#This Row],[Calculated_LOS]]=tblEncounters5[[#This Row],[LOS_Days]],"Match","Mismatch"))</f>
        <v>Match</v>
      </c>
      <c r="AB29" t="str">
        <f>IF(COUNTIF(tblEncounters[Hospital_ID],tblEncounters5[[#This Row],[Hospital_ID]])=1,"Valid","Invalid")</f>
        <v>Invalid</v>
      </c>
      <c r="AC29"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30" spans="1:29" hidden="1">
      <c r="A30" t="s">
        <v>111</v>
      </c>
      <c r="B30" t="s">
        <v>161</v>
      </c>
      <c r="C30" t="s">
        <v>19</v>
      </c>
      <c r="D30">
        <v>41</v>
      </c>
      <c r="E30" t="str">
        <f>IF(tblEncounters5[[#This Row],[Age]]&lt;30,"18-29",IF(tblEncounters5[[#This Row],[Age]]&lt;45,"30-44",IF(tblEncounters5[[#This Row],[Age]]&lt;60,"45-59",IF(tblEncounters5[[#This Row],[Age]]&lt;75,"60-74","75+"))))</f>
        <v>30-44</v>
      </c>
      <c r="F30" t="s">
        <v>210</v>
      </c>
      <c r="G30" t="s">
        <v>189</v>
      </c>
      <c r="H30" t="s">
        <v>191</v>
      </c>
      <c r="I30" s="10">
        <v>46087</v>
      </c>
      <c r="J30" s="10">
        <f ca="1">tblEncounters5[[#This Row],[Admission_Date]]+RANDBETWEEN(1,12)</f>
        <v>46092</v>
      </c>
      <c r="K30">
        <f ca="1">tblEncounters5[[#This Row],[Discharge_Date]]-tblEncounters5[[#This Row],[Admission_Date]]</f>
        <v>5</v>
      </c>
      <c r="L30" s="10" t="s">
        <v>54</v>
      </c>
      <c r="M30" s="9" t="s">
        <v>196</v>
      </c>
      <c r="N30" t="s">
        <v>53</v>
      </c>
      <c r="O30" t="s">
        <v>54</v>
      </c>
      <c r="P30" t="s">
        <v>54</v>
      </c>
      <c r="Q30" t="str">
        <f>_xlfn.XLOOKUP(tblEncounters5[[#This Row],[Hospital_ID]],Table1[Hospital_ID],Table1[Hospital_Name],"Not Found")</f>
        <v>Clinica Santa Marisol</v>
      </c>
      <c r="R30" t="str">
        <f>_xlfn.XLOOKUP(tblEncounters5[[#This Row],[Hospital_ID]],Table1[Hospital_ID],Table1[Country],"Not Found")</f>
        <v>Spain</v>
      </c>
      <c r="S30" t="str">
        <f>_xlfn.XLOOKUP(tblEncounters5[[#This Row],[Hospital_ID]],Table1[Hospital_ID],Table1[FHIR_Enabled],"Not Found")</f>
        <v>Partial</v>
      </c>
      <c r="T30" t="str">
        <f ca="1">IF(OR(tblEncounters5[[#This Row],[Age]]="",tblEncounters5[[#This Row],[Age]]&lt;18,tblEncounters5[[#This Row],[Age]]&gt;100,tblEncounters5[[#This Row],[Department]]="",tblEncounters5[[#This Row],[Documentation_Complete]]="",tblEncounters5[[#This Row],[LOS_Days]]&lt;0),"Review","OK")</f>
        <v>OK</v>
      </c>
      <c r="U30" t="str">
        <f>IF(COUNTIF(tblEncounters5[[#All],[Encounter_ID]],tblEncounters5[[#This Row],[Encounter_ID]])&gt;1,"Duplicate","Unique")</f>
        <v>Unique</v>
      </c>
      <c r="V30" t="str">
        <f>PROPER(TRIM(tblEncounters5[[#This Row],[Department]]))</f>
        <v>Psychiatry</v>
      </c>
      <c r="W30" t="str">
        <f>IF(LOWER(TRIM(tblEncounters5[[#This Row],[Sex]]))="male","Male",IF(LOWER(TRIM(tblEncounters5[[#This Row],[Sex]]))="female","Female","Review"))</f>
        <v>Male</v>
      </c>
      <c r="X30" t="str">
        <f>IF(OR(LOWER(TRIM(tblEncounters5[[#This Row],[Admission_Type]]))="emergency",LOWER(TRIM(tblEncounters5[[#This Row],[Admission_Type]]))="emerg"),"Emergency",IF(LOWER(TRIM(tblEncounters5[[#This Row],[Admission_Type]]))="planned","Planned","Review"))</f>
        <v>Emergency</v>
      </c>
      <c r="Y30" t="str">
        <f ca="1">IF(tblEncounters5[[#This Row],[Discharge_Date]]="","Missing Discharge",IF(tblEncounters5[[#This Row],[Discharge_Date]]&lt;tblEncounters5[[#This Row],[Admission_Date]],"Invalid Date","OK"))</f>
        <v>OK</v>
      </c>
      <c r="Z30">
        <f ca="1">IF(OR(tblEncounters5[[#This Row],[Admission_Date]]="",tblEncounters5[[#This Row],[Discharge_Date]]=""),"",tblEncounters5[[#This Row],[Discharge_Date]]-tblEncounters5[[#This Row],[Admission_Date]])</f>
        <v>5</v>
      </c>
      <c r="AA30" t="str">
        <f ca="1">IF(tblEncounters5[[#This Row],[Calculated_LOS]]="","Missing",IF(tblEncounters5[[#This Row],[Calculated_LOS]]=tblEncounters5[[#This Row],[LOS_Days]],"Match","Mismatch"))</f>
        <v>Match</v>
      </c>
      <c r="AB30" t="str">
        <f>IF(COUNTIF(tblEncounters[Hospital_ID],tblEncounters5[[#This Row],[Hospital_ID]])=1,"Valid","Invalid")</f>
        <v>Invalid</v>
      </c>
      <c r="AC30"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31" spans="1:29" hidden="1">
      <c r="A31" t="s">
        <v>112</v>
      </c>
      <c r="B31" t="s">
        <v>162</v>
      </c>
      <c r="C31" t="s">
        <v>20</v>
      </c>
      <c r="D31">
        <v>26</v>
      </c>
      <c r="E31" t="str">
        <f>IF(tblEncounters5[[#This Row],[Age]]&lt;30,"18-29",IF(tblEncounters5[[#This Row],[Age]]&lt;45,"30-44",IF(tblEncounters5[[#This Row],[Age]]&lt;60,"45-59",IF(tblEncounters5[[#This Row],[Age]]&lt;75,"60-74","75+"))))</f>
        <v>18-29</v>
      </c>
      <c r="F31" t="s">
        <v>184</v>
      </c>
      <c r="G31" t="s">
        <v>190</v>
      </c>
      <c r="H31" t="s">
        <v>192</v>
      </c>
      <c r="I31" s="10">
        <v>46068</v>
      </c>
      <c r="J31" s="10">
        <f ca="1">tblEncounters5[[#This Row],[Admission_Date]]+RANDBETWEEN(1,12)</f>
        <v>46080</v>
      </c>
      <c r="K31">
        <f ca="1">tblEncounters5[[#This Row],[Discharge_Date]]-tblEncounters5[[#This Row],[Admission_Date]]</f>
        <v>12</v>
      </c>
      <c r="L31" s="10" t="s">
        <v>54</v>
      </c>
      <c r="M31" s="9" t="s">
        <v>197</v>
      </c>
      <c r="N31" t="s">
        <v>53</v>
      </c>
      <c r="O31" t="s">
        <v>54</v>
      </c>
      <c r="P31" t="s">
        <v>54</v>
      </c>
      <c r="Q31" t="str">
        <f>_xlfn.XLOOKUP(tblEncounters5[[#This Row],[Hospital_ID]],Table1[Hospital_ID],Table1[Hospital_Name],"Not Found")</f>
        <v>Nordhavan Regional Medical Centre</v>
      </c>
      <c r="R31" t="str">
        <f>_xlfn.XLOOKUP(tblEncounters5[[#This Row],[Hospital_ID]],Table1[Hospital_ID],Table1[Country],"Not Found")</f>
        <v>Italy</v>
      </c>
      <c r="S31" t="str">
        <f>_xlfn.XLOOKUP(tblEncounters5[[#This Row],[Hospital_ID]],Table1[Hospital_ID],Table1[FHIR_Enabled],"Not Found")</f>
        <v>No</v>
      </c>
      <c r="T31" t="str">
        <f ca="1">IF(OR(tblEncounters5[[#This Row],[Age]]="",tblEncounters5[[#This Row],[Age]]&lt;18,tblEncounters5[[#This Row],[Age]]&gt;100,tblEncounters5[[#This Row],[Department]]="",tblEncounters5[[#This Row],[Documentation_Complete]]="",tblEncounters5[[#This Row],[LOS_Days]]&lt;0),"Review","OK")</f>
        <v>OK</v>
      </c>
      <c r="U31" t="str">
        <f>IF(COUNTIF(tblEncounters5[[#All],[Encounter_ID]],tblEncounters5[[#This Row],[Encounter_ID]])&gt;1,"Duplicate","Unique")</f>
        <v>Unique</v>
      </c>
      <c r="V31" t="str">
        <f>PROPER(TRIM(tblEncounters5[[#This Row],[Department]]))</f>
        <v>General Surgery</v>
      </c>
      <c r="W31" t="str">
        <f>IF(LOWER(TRIM(tblEncounters5[[#This Row],[Sex]]))="male","Male",IF(LOWER(TRIM(tblEncounters5[[#This Row],[Sex]]))="female","Female","Review"))</f>
        <v>Female</v>
      </c>
      <c r="X31" t="str">
        <f>IF(OR(LOWER(TRIM(tblEncounters5[[#This Row],[Admission_Type]]))="emergency",LOWER(TRIM(tblEncounters5[[#This Row],[Admission_Type]]))="emerg"),"Emergency",IF(LOWER(TRIM(tblEncounters5[[#This Row],[Admission_Type]]))="planned","Planned","Review"))</f>
        <v>Planned</v>
      </c>
      <c r="Y31" t="str">
        <f ca="1">IF(tblEncounters5[[#This Row],[Discharge_Date]]="","Missing Discharge",IF(tblEncounters5[[#This Row],[Discharge_Date]]&lt;tblEncounters5[[#This Row],[Admission_Date]],"Invalid Date","OK"))</f>
        <v>OK</v>
      </c>
      <c r="Z31">
        <f ca="1">IF(OR(tblEncounters5[[#This Row],[Admission_Date]]="",tblEncounters5[[#This Row],[Discharge_Date]]=""),"",tblEncounters5[[#This Row],[Discharge_Date]]-tblEncounters5[[#This Row],[Admission_Date]])</f>
        <v>12</v>
      </c>
      <c r="AA31" t="str">
        <f ca="1">IF(tblEncounters5[[#This Row],[Calculated_LOS]]="","Missing",IF(tblEncounters5[[#This Row],[Calculated_LOS]]=tblEncounters5[[#This Row],[LOS_Days]],"Match","Mismatch"))</f>
        <v>Match</v>
      </c>
      <c r="AB31" t="str">
        <f>IF(COUNTIF(tblEncounters[Hospital_ID],tblEncounters5[[#This Row],[Hospital_ID]])=1,"Valid","Invalid")</f>
        <v>Invalid</v>
      </c>
      <c r="AC31"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32" spans="1:29" hidden="1">
      <c r="A32" t="s">
        <v>113</v>
      </c>
      <c r="B32" t="s">
        <v>163</v>
      </c>
      <c r="C32" t="s">
        <v>11</v>
      </c>
      <c r="D32">
        <v>48</v>
      </c>
      <c r="E32" t="str">
        <f>IF(tblEncounters5[[#This Row],[Age]]&lt;30,"18-29",IF(tblEncounters5[[#This Row],[Age]]&lt;45,"30-44",IF(tblEncounters5[[#This Row],[Age]]&lt;60,"45-59",IF(tblEncounters5[[#This Row],[Age]]&lt;75,"60-74","75+"))))</f>
        <v>45-59</v>
      </c>
      <c r="F32" t="s">
        <v>183</v>
      </c>
      <c r="G32" t="s">
        <v>185</v>
      </c>
      <c r="H32" t="s">
        <v>191</v>
      </c>
      <c r="I32" s="10">
        <v>46063</v>
      </c>
      <c r="J32" s="10">
        <f ca="1">tblEncounters5[[#This Row],[Admission_Date]]+RANDBETWEEN(1,12)</f>
        <v>46068</v>
      </c>
      <c r="K32">
        <f ca="1">tblEncounters5[[#This Row],[Discharge_Date]]-tblEncounters5[[#This Row],[Admission_Date]]</f>
        <v>5</v>
      </c>
      <c r="L32" s="10" t="s">
        <v>53</v>
      </c>
      <c r="M32" s="9" t="s">
        <v>193</v>
      </c>
      <c r="N32" t="s">
        <v>53</v>
      </c>
      <c r="O32" t="s">
        <v>54</v>
      </c>
      <c r="P32" t="s">
        <v>54</v>
      </c>
      <c r="Q32" t="str">
        <f>_xlfn.XLOOKUP(tblEncounters5[[#This Row],[Hospital_ID]],Table1[Hospital_ID],Table1[Hospital_Name],"Not Found")</f>
        <v>Nova Medical Centre</v>
      </c>
      <c r="R32" t="str">
        <f>_xlfn.XLOOKUP(tblEncounters5[[#This Row],[Hospital_ID]],Table1[Hospital_ID],Table1[Country],"Not Found")</f>
        <v>Germany</v>
      </c>
      <c r="S32" t="str">
        <f>_xlfn.XLOOKUP(tblEncounters5[[#This Row],[Hospital_ID]],Table1[Hospital_ID],Table1[FHIR_Enabled],"Not Found")</f>
        <v>Yes</v>
      </c>
      <c r="T32" t="str">
        <f ca="1">IF(OR(tblEncounters5[[#This Row],[Age]]="",tblEncounters5[[#This Row],[Age]]&lt;18,tblEncounters5[[#This Row],[Age]]&gt;100,tblEncounters5[[#This Row],[Department]]="",tblEncounters5[[#This Row],[Documentation_Complete]]="",tblEncounters5[[#This Row],[LOS_Days]]&lt;0),"Review","OK")</f>
        <v>OK</v>
      </c>
      <c r="U32" t="str">
        <f>IF(COUNTIF(tblEncounters5[[#All],[Encounter_ID]],tblEncounters5[[#This Row],[Encounter_ID]])&gt;1,"Duplicate","Unique")</f>
        <v>Unique</v>
      </c>
      <c r="V32" t="str">
        <f>PROPER(TRIM(tblEncounters5[[#This Row],[Department]]))</f>
        <v>General Medicine</v>
      </c>
      <c r="W32" t="str">
        <f>IF(LOWER(TRIM(tblEncounters5[[#This Row],[Sex]]))="male","Male",IF(LOWER(TRIM(tblEncounters5[[#This Row],[Sex]]))="female","Female","Review"))</f>
        <v>Male</v>
      </c>
      <c r="X32" t="str">
        <f>IF(OR(LOWER(TRIM(tblEncounters5[[#This Row],[Admission_Type]]))="emergency",LOWER(TRIM(tblEncounters5[[#This Row],[Admission_Type]]))="emerg"),"Emergency",IF(LOWER(TRIM(tblEncounters5[[#This Row],[Admission_Type]]))="planned","Planned","Review"))</f>
        <v>Emergency</v>
      </c>
      <c r="Y32" t="str">
        <f ca="1">IF(tblEncounters5[[#This Row],[Discharge_Date]]="","Missing Discharge",IF(tblEncounters5[[#This Row],[Discharge_Date]]&lt;tblEncounters5[[#This Row],[Admission_Date]],"Invalid Date","OK"))</f>
        <v>OK</v>
      </c>
      <c r="Z32">
        <f ca="1">IF(OR(tblEncounters5[[#This Row],[Admission_Date]]="",tblEncounters5[[#This Row],[Discharge_Date]]=""),"",tblEncounters5[[#This Row],[Discharge_Date]]-tblEncounters5[[#This Row],[Admission_Date]])</f>
        <v>5</v>
      </c>
      <c r="AA32" t="str">
        <f ca="1">IF(tblEncounters5[[#This Row],[Calculated_LOS]]="","Missing",IF(tblEncounters5[[#This Row],[Calculated_LOS]]=tblEncounters5[[#This Row],[LOS_Days]],"Match","Mismatch"))</f>
        <v>Match</v>
      </c>
      <c r="AB32" t="str">
        <f>IF(COUNTIF(tblEncounters[Hospital_ID],tblEncounters5[[#This Row],[Hospital_ID]])=1,"Valid","Invalid")</f>
        <v>Invalid</v>
      </c>
      <c r="AC32"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33" spans="1:29" hidden="1">
      <c r="A33" t="s">
        <v>114</v>
      </c>
      <c r="B33" t="s">
        <v>164</v>
      </c>
      <c r="C33" t="s">
        <v>12</v>
      </c>
      <c r="D33">
        <v>66</v>
      </c>
      <c r="E33" t="str">
        <f>IF(tblEncounters5[[#This Row],[Age]]&lt;30,"18-29",IF(tblEncounters5[[#This Row],[Age]]&lt;45,"30-44",IF(tblEncounters5[[#This Row],[Age]]&lt;60,"45-59",IF(tblEncounters5[[#This Row],[Age]]&lt;75,"60-74","75+"))))</f>
        <v>60-74</v>
      </c>
      <c r="F33" t="s">
        <v>184</v>
      </c>
      <c r="G33" t="s">
        <v>186</v>
      </c>
      <c r="H33" t="s">
        <v>192</v>
      </c>
      <c r="I33" s="10">
        <v>46080</v>
      </c>
      <c r="J33" s="10">
        <f ca="1">tblEncounters5[[#This Row],[Admission_Date]]+RANDBETWEEN(1,12)</f>
        <v>46084</v>
      </c>
      <c r="K33">
        <f ca="1">tblEncounters5[[#This Row],[Discharge_Date]]-tblEncounters5[[#This Row],[Admission_Date]]</f>
        <v>4</v>
      </c>
      <c r="L33" s="10" t="s">
        <v>54</v>
      </c>
      <c r="M33" s="9" t="s">
        <v>194</v>
      </c>
      <c r="N33" t="s">
        <v>53</v>
      </c>
      <c r="O33" t="s">
        <v>54</v>
      </c>
      <c r="P33" t="s">
        <v>54</v>
      </c>
      <c r="Q33" t="str">
        <f>_xlfn.XLOOKUP(tblEncounters5[[#This Row],[Hospital_ID]],Table1[Hospital_ID],Table1[Hospital_Name],"Not Found")</f>
        <v>Aurora Medical Centre</v>
      </c>
      <c r="R33" t="str">
        <f>_xlfn.XLOOKUP(tblEncounters5[[#This Row],[Hospital_ID]],Table1[Hospital_ID],Table1[Country],"Not Found")</f>
        <v>Netherland</v>
      </c>
      <c r="S33" t="str">
        <f>_xlfn.XLOOKUP(tblEncounters5[[#This Row],[Hospital_ID]],Table1[Hospital_ID],Table1[FHIR_Enabled],"Not Found")</f>
        <v>Yes</v>
      </c>
      <c r="T33" t="str">
        <f ca="1">IF(OR(tblEncounters5[[#This Row],[Age]]="",tblEncounters5[[#This Row],[Age]]&lt;18,tblEncounters5[[#This Row],[Age]]&gt;100,tblEncounters5[[#This Row],[Department]]="",tblEncounters5[[#This Row],[Documentation_Complete]]="",tblEncounters5[[#This Row],[LOS_Days]]&lt;0),"Review","OK")</f>
        <v>OK</v>
      </c>
      <c r="U33" t="str">
        <f>IF(COUNTIF(tblEncounters5[[#All],[Encounter_ID]],tblEncounters5[[#This Row],[Encounter_ID]])&gt;1,"Duplicate","Unique")</f>
        <v>Unique</v>
      </c>
      <c r="V33" t="str">
        <f>PROPER(TRIM(tblEncounters5[[#This Row],[Department]]))</f>
        <v>Cardiology</v>
      </c>
      <c r="W33" t="str">
        <f>IF(LOWER(TRIM(tblEncounters5[[#This Row],[Sex]]))="male","Male",IF(LOWER(TRIM(tblEncounters5[[#This Row],[Sex]]))="female","Female","Review"))</f>
        <v>Female</v>
      </c>
      <c r="X33" t="str">
        <f>IF(OR(LOWER(TRIM(tblEncounters5[[#This Row],[Admission_Type]]))="emergency",LOWER(TRIM(tblEncounters5[[#This Row],[Admission_Type]]))="emerg"),"Emergency",IF(LOWER(TRIM(tblEncounters5[[#This Row],[Admission_Type]]))="planned","Planned","Review"))</f>
        <v>Planned</v>
      </c>
      <c r="Y33" t="str">
        <f ca="1">IF(tblEncounters5[[#This Row],[Discharge_Date]]="","Missing Discharge",IF(tblEncounters5[[#This Row],[Discharge_Date]]&lt;tblEncounters5[[#This Row],[Admission_Date]],"Invalid Date","OK"))</f>
        <v>OK</v>
      </c>
      <c r="Z33">
        <f ca="1">IF(OR(tblEncounters5[[#This Row],[Admission_Date]]="",tblEncounters5[[#This Row],[Discharge_Date]]=""),"",tblEncounters5[[#This Row],[Discharge_Date]]-tblEncounters5[[#This Row],[Admission_Date]])</f>
        <v>4</v>
      </c>
      <c r="AA33" t="str">
        <f ca="1">IF(tblEncounters5[[#This Row],[Calculated_LOS]]="","Missing",IF(tblEncounters5[[#This Row],[Calculated_LOS]]=tblEncounters5[[#This Row],[LOS_Days]],"Match","Mismatch"))</f>
        <v>Match</v>
      </c>
      <c r="AB33" t="str">
        <f>IF(COUNTIF(tblEncounters[Hospital_ID],tblEncounters5[[#This Row],[Hospital_ID]])=1,"Valid","Invalid")</f>
        <v>Invalid</v>
      </c>
      <c r="AC33"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34" spans="1:29" hidden="1">
      <c r="A34" t="s">
        <v>115</v>
      </c>
      <c r="B34" t="s">
        <v>165</v>
      </c>
      <c r="C34" t="s">
        <v>13</v>
      </c>
      <c r="D34">
        <v>19</v>
      </c>
      <c r="E34" t="str">
        <f>IF(tblEncounters5[[#This Row],[Age]]&lt;30,"18-29",IF(tblEncounters5[[#This Row],[Age]]&lt;45,"30-44",IF(tblEncounters5[[#This Row],[Age]]&lt;60,"45-59",IF(tblEncounters5[[#This Row],[Age]]&lt;75,"60-74","75+"))))</f>
        <v>18-29</v>
      </c>
      <c r="F34" t="s">
        <v>183</v>
      </c>
      <c r="G34" t="s">
        <v>187</v>
      </c>
      <c r="H34" t="s">
        <v>191</v>
      </c>
      <c r="I34" s="10">
        <v>46075</v>
      </c>
      <c r="J34" s="10">
        <f ca="1">tblEncounters5[[#This Row],[Admission_Date]]+RANDBETWEEN(1,12)</f>
        <v>46085</v>
      </c>
      <c r="K34">
        <f ca="1">tblEncounters5[[#This Row],[Discharge_Date]]-tblEncounters5[[#This Row],[Admission_Date]]</f>
        <v>10</v>
      </c>
      <c r="L34" s="10" t="s">
        <v>53</v>
      </c>
      <c r="M34" t="s">
        <v>195</v>
      </c>
      <c r="N34" t="s">
        <v>53</v>
      </c>
      <c r="O34" t="s">
        <v>54</v>
      </c>
      <c r="P34" t="s">
        <v>54</v>
      </c>
      <c r="Q34" t="str">
        <f>_xlfn.XLOOKUP(tblEncounters5[[#This Row],[Hospital_ID]],Table1[Hospital_ID],Table1[Hospital_Name],"Not Found")</f>
        <v>Helis General Hospital</v>
      </c>
      <c r="R34" t="str">
        <f>_xlfn.XLOOKUP(tblEncounters5[[#This Row],[Hospital_ID]],Table1[Hospital_ID],Table1[Country],"Not Found")</f>
        <v>Austria</v>
      </c>
      <c r="S34" t="str">
        <f>_xlfn.XLOOKUP(tblEncounters5[[#This Row],[Hospital_ID]],Table1[Hospital_ID],Table1[FHIR_Enabled],"Not Found")</f>
        <v>Partial</v>
      </c>
      <c r="T34" t="str">
        <f ca="1">IF(OR(tblEncounters5[[#This Row],[Age]]="",tblEncounters5[[#This Row],[Age]]&lt;18,tblEncounters5[[#This Row],[Age]]&gt;100,tblEncounters5[[#This Row],[Department]]="",tblEncounters5[[#This Row],[Documentation_Complete]]="",tblEncounters5[[#This Row],[LOS_Days]]&lt;0),"Review","OK")</f>
        <v>OK</v>
      </c>
      <c r="U34" t="str">
        <f>IF(COUNTIF(tblEncounters5[[#All],[Encounter_ID]],tblEncounters5[[#This Row],[Encounter_ID]])&gt;1,"Duplicate","Unique")</f>
        <v>Unique</v>
      </c>
      <c r="V34" t="str">
        <f>PROPER(TRIM(tblEncounters5[[#This Row],[Department]]))</f>
        <v>Neurology</v>
      </c>
      <c r="W34" t="str">
        <f>IF(LOWER(TRIM(tblEncounters5[[#This Row],[Sex]]))="male","Male",IF(LOWER(TRIM(tblEncounters5[[#This Row],[Sex]]))="female","Female","Review"))</f>
        <v>Male</v>
      </c>
      <c r="X34" t="str">
        <f>IF(OR(LOWER(TRIM(tblEncounters5[[#This Row],[Admission_Type]]))="emergency",LOWER(TRIM(tblEncounters5[[#This Row],[Admission_Type]]))="emerg"),"Emergency",IF(LOWER(TRIM(tblEncounters5[[#This Row],[Admission_Type]]))="planned","Planned","Review"))</f>
        <v>Emergency</v>
      </c>
      <c r="Y34" t="str">
        <f ca="1">IF(tblEncounters5[[#This Row],[Discharge_Date]]="","Missing Discharge",IF(tblEncounters5[[#This Row],[Discharge_Date]]&lt;tblEncounters5[[#This Row],[Admission_Date]],"Invalid Date","OK"))</f>
        <v>OK</v>
      </c>
      <c r="Z34">
        <f ca="1">IF(OR(tblEncounters5[[#This Row],[Admission_Date]]="",tblEncounters5[[#This Row],[Discharge_Date]]=""),"",tblEncounters5[[#This Row],[Discharge_Date]]-tblEncounters5[[#This Row],[Admission_Date]])</f>
        <v>10</v>
      </c>
      <c r="AA34" t="str">
        <f ca="1">IF(tblEncounters5[[#This Row],[Calculated_LOS]]="","Missing",IF(tblEncounters5[[#This Row],[Calculated_LOS]]=tblEncounters5[[#This Row],[LOS_Days]],"Match","Mismatch"))</f>
        <v>Match</v>
      </c>
      <c r="AB34" t="str">
        <f>IF(COUNTIF(tblEncounters[Hospital_ID],tblEncounters5[[#This Row],[Hospital_ID]])=1,"Valid","Invalid")</f>
        <v>Invalid</v>
      </c>
      <c r="AC34"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35" spans="1:29" hidden="1">
      <c r="A35" t="s">
        <v>116</v>
      </c>
      <c r="B35" t="s">
        <v>166</v>
      </c>
      <c r="C35" t="s">
        <v>14</v>
      </c>
      <c r="D35">
        <v>27</v>
      </c>
      <c r="E35" t="str">
        <f>IF(tblEncounters5[[#This Row],[Age]]&lt;30,"18-29",IF(tblEncounters5[[#This Row],[Age]]&lt;45,"30-44",IF(tblEncounters5[[#This Row],[Age]]&lt;60,"45-59",IF(tblEncounters5[[#This Row],[Age]]&lt;75,"60-74","75+"))))</f>
        <v>18-29</v>
      </c>
      <c r="F35" t="s">
        <v>184</v>
      </c>
      <c r="G35" t="s">
        <v>188</v>
      </c>
      <c r="H35" t="s">
        <v>192</v>
      </c>
      <c r="I35" s="10">
        <v>46102</v>
      </c>
      <c r="J35" s="10">
        <f ca="1">tblEncounters5[[#This Row],[Admission_Date]]+RANDBETWEEN(1,12)</f>
        <v>46110</v>
      </c>
      <c r="K35">
        <f ca="1">tblEncounters5[[#This Row],[Discharge_Date]]-tblEncounters5[[#This Row],[Admission_Date]]</f>
        <v>8</v>
      </c>
      <c r="L35" s="10" t="s">
        <v>54</v>
      </c>
      <c r="M35" s="9" t="s">
        <v>196</v>
      </c>
      <c r="N35" t="s">
        <v>53</v>
      </c>
      <c r="O35" t="s">
        <v>54</v>
      </c>
      <c r="P35" t="s">
        <v>54</v>
      </c>
      <c r="Q35" t="str">
        <f>_xlfn.XLOOKUP(tblEncounters5[[#This Row],[Hospital_ID]],Table1[Hospital_ID],Table1[Hospital_Name],"Not Found")</f>
        <v>St. Clara Medical Centre</v>
      </c>
      <c r="R35" t="str">
        <f>_xlfn.XLOOKUP(tblEncounters5[[#This Row],[Hospital_ID]],Table1[Hospital_ID],Table1[Country],"Not Found")</f>
        <v>France</v>
      </c>
      <c r="S35" t="str">
        <f>_xlfn.XLOOKUP(tblEncounters5[[#This Row],[Hospital_ID]],Table1[Hospital_ID],Table1[FHIR_Enabled],"Not Found")</f>
        <v>Yes</v>
      </c>
      <c r="T35" t="str">
        <f ca="1">IF(OR(tblEncounters5[[#This Row],[Age]]="",tblEncounters5[[#This Row],[Age]]&lt;18,tblEncounters5[[#This Row],[Age]]&gt;100,tblEncounters5[[#This Row],[Department]]="",tblEncounters5[[#This Row],[Documentation_Complete]]="",tblEncounters5[[#This Row],[LOS_Days]]&lt;0),"Review","OK")</f>
        <v>OK</v>
      </c>
      <c r="U35" t="str">
        <f>IF(COUNTIF(tblEncounters5[[#All],[Encounter_ID]],tblEncounters5[[#This Row],[Encounter_ID]])&gt;1,"Duplicate","Unique")</f>
        <v>Unique</v>
      </c>
      <c r="V35" t="str">
        <f>PROPER(TRIM(tblEncounters5[[#This Row],[Department]]))</f>
        <v>Orthopaedics</v>
      </c>
      <c r="W35" t="str">
        <f>IF(LOWER(TRIM(tblEncounters5[[#This Row],[Sex]]))="male","Male",IF(LOWER(TRIM(tblEncounters5[[#This Row],[Sex]]))="female","Female","Review"))</f>
        <v>Female</v>
      </c>
      <c r="X35" t="str">
        <f>IF(OR(LOWER(TRIM(tblEncounters5[[#This Row],[Admission_Type]]))="emergency",LOWER(TRIM(tblEncounters5[[#This Row],[Admission_Type]]))="emerg"),"Emergency",IF(LOWER(TRIM(tblEncounters5[[#This Row],[Admission_Type]]))="planned","Planned","Review"))</f>
        <v>Planned</v>
      </c>
      <c r="Y35" t="str">
        <f ca="1">IF(tblEncounters5[[#This Row],[Discharge_Date]]="","Missing Discharge",IF(tblEncounters5[[#This Row],[Discharge_Date]]&lt;tblEncounters5[[#This Row],[Admission_Date]],"Invalid Date","OK"))</f>
        <v>OK</v>
      </c>
      <c r="Z35">
        <f ca="1">IF(OR(tblEncounters5[[#This Row],[Admission_Date]]="",tblEncounters5[[#This Row],[Discharge_Date]]=""),"",tblEncounters5[[#This Row],[Discharge_Date]]-tblEncounters5[[#This Row],[Admission_Date]])</f>
        <v>8</v>
      </c>
      <c r="AA35" t="str">
        <f ca="1">IF(tblEncounters5[[#This Row],[Calculated_LOS]]="","Missing",IF(tblEncounters5[[#This Row],[Calculated_LOS]]=tblEncounters5[[#This Row],[LOS_Days]],"Match","Mismatch"))</f>
        <v>Match</v>
      </c>
      <c r="AB35" t="str">
        <f>IF(COUNTIF(tblEncounters[Hospital_ID],tblEncounters5[[#This Row],[Hospital_ID]])=1,"Valid","Invalid")</f>
        <v>Invalid</v>
      </c>
      <c r="AC35"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36" spans="1:29" hidden="1">
      <c r="A36" t="s">
        <v>117</v>
      </c>
      <c r="B36" t="s">
        <v>167</v>
      </c>
      <c r="C36" t="s">
        <v>15</v>
      </c>
      <c r="D36">
        <v>70</v>
      </c>
      <c r="E36" t="str">
        <f>IF(tblEncounters5[[#This Row],[Age]]&lt;30,"18-29",IF(tblEncounters5[[#This Row],[Age]]&lt;45,"30-44",IF(tblEncounters5[[#This Row],[Age]]&lt;60,"45-59",IF(tblEncounters5[[#This Row],[Age]]&lt;75,"60-74","75+"))))</f>
        <v>60-74</v>
      </c>
      <c r="F36" t="s">
        <v>183</v>
      </c>
      <c r="G36" t="s">
        <v>189</v>
      </c>
      <c r="H36" t="s">
        <v>191</v>
      </c>
      <c r="I36" s="10">
        <v>46095</v>
      </c>
      <c r="J36" s="10">
        <f ca="1">tblEncounters5[[#This Row],[Admission_Date]]+RANDBETWEEN(1,12)</f>
        <v>46101</v>
      </c>
      <c r="K36">
        <f ca="1">tblEncounters5[[#This Row],[Discharge_Date]]-tblEncounters5[[#This Row],[Admission_Date]]</f>
        <v>6</v>
      </c>
      <c r="L36" s="10" t="s">
        <v>54</v>
      </c>
      <c r="M36" s="9" t="s">
        <v>197</v>
      </c>
      <c r="N36" t="s">
        <v>53</v>
      </c>
      <c r="O36" t="s">
        <v>54</v>
      </c>
      <c r="P36" t="s">
        <v>54</v>
      </c>
      <c r="Q36" t="str">
        <f>_xlfn.XLOOKUP(tblEncounters5[[#This Row],[Hospital_ID]],Table1[Hospital_ID],Table1[Hospital_Name],"Not Found")</f>
        <v>Europa Health Institute</v>
      </c>
      <c r="R36" t="str">
        <f>_xlfn.XLOOKUP(tblEncounters5[[#This Row],[Hospital_ID]],Table1[Hospital_ID],Table1[Country],"Not Found")</f>
        <v xml:space="preserve">Belgium </v>
      </c>
      <c r="S36" t="str">
        <f>_xlfn.XLOOKUP(tblEncounters5[[#This Row],[Hospital_ID]],Table1[Hospital_ID],Table1[FHIR_Enabled],"Not Found")</f>
        <v>Yes</v>
      </c>
      <c r="T36" t="str">
        <f ca="1">IF(OR(tblEncounters5[[#This Row],[Age]]="",tblEncounters5[[#This Row],[Age]]&lt;18,tblEncounters5[[#This Row],[Age]]&gt;100,tblEncounters5[[#This Row],[Department]]="",tblEncounters5[[#This Row],[Documentation_Complete]]="",tblEncounters5[[#This Row],[LOS_Days]]&lt;0),"Review","OK")</f>
        <v>OK</v>
      </c>
      <c r="U36" t="str">
        <f>IF(COUNTIF(tblEncounters5[[#All],[Encounter_ID]],tblEncounters5[[#This Row],[Encounter_ID]])&gt;1,"Duplicate","Unique")</f>
        <v>Unique</v>
      </c>
      <c r="V36" t="str">
        <f>PROPER(TRIM(tblEncounters5[[#This Row],[Department]]))</f>
        <v>Psychiatry</v>
      </c>
      <c r="W36" t="str">
        <f>IF(LOWER(TRIM(tblEncounters5[[#This Row],[Sex]]))="male","Male",IF(LOWER(TRIM(tblEncounters5[[#This Row],[Sex]]))="female","Female","Review"))</f>
        <v>Male</v>
      </c>
      <c r="X36" t="str">
        <f>IF(OR(LOWER(TRIM(tblEncounters5[[#This Row],[Admission_Type]]))="emergency",LOWER(TRIM(tblEncounters5[[#This Row],[Admission_Type]]))="emerg"),"Emergency",IF(LOWER(TRIM(tblEncounters5[[#This Row],[Admission_Type]]))="planned","Planned","Review"))</f>
        <v>Emergency</v>
      </c>
      <c r="Y36" t="str">
        <f ca="1">IF(tblEncounters5[[#This Row],[Discharge_Date]]="","Missing Discharge",IF(tblEncounters5[[#This Row],[Discharge_Date]]&lt;tblEncounters5[[#This Row],[Admission_Date]],"Invalid Date","OK"))</f>
        <v>OK</v>
      </c>
      <c r="Z36">
        <f ca="1">IF(OR(tblEncounters5[[#This Row],[Admission_Date]]="",tblEncounters5[[#This Row],[Discharge_Date]]=""),"",tblEncounters5[[#This Row],[Discharge_Date]]-tblEncounters5[[#This Row],[Admission_Date]])</f>
        <v>6</v>
      </c>
      <c r="AA36" t="str">
        <f ca="1">IF(tblEncounters5[[#This Row],[Calculated_LOS]]="","Missing",IF(tblEncounters5[[#This Row],[Calculated_LOS]]=tblEncounters5[[#This Row],[LOS_Days]],"Match","Mismatch"))</f>
        <v>Match</v>
      </c>
      <c r="AB36" t="str">
        <f>IF(COUNTIF(tblEncounters[Hospital_ID],tblEncounters5[[#This Row],[Hospital_ID]])=1,"Valid","Invalid")</f>
        <v>Invalid</v>
      </c>
      <c r="AC36"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37" spans="1:29" hidden="1">
      <c r="A37" t="s">
        <v>118</v>
      </c>
      <c r="B37" t="s">
        <v>168</v>
      </c>
      <c r="C37" t="s">
        <v>16</v>
      </c>
      <c r="D37">
        <v>38</v>
      </c>
      <c r="E37" t="str">
        <f>IF(tblEncounters5[[#This Row],[Age]]&lt;30,"18-29",IF(tblEncounters5[[#This Row],[Age]]&lt;45,"30-44",IF(tblEncounters5[[#This Row],[Age]]&lt;60,"45-59",IF(tblEncounters5[[#This Row],[Age]]&lt;75,"60-74","75+"))))</f>
        <v>30-44</v>
      </c>
      <c r="F37" t="s">
        <v>184</v>
      </c>
      <c r="G37" t="s">
        <v>190</v>
      </c>
      <c r="H37" t="s">
        <v>192</v>
      </c>
      <c r="I37" s="10">
        <v>46026</v>
      </c>
      <c r="J37" s="10">
        <f ca="1">tblEncounters5[[#This Row],[Admission_Date]]+RANDBETWEEN(1,12)</f>
        <v>46030</v>
      </c>
      <c r="K37">
        <f ca="1">tblEncounters5[[#This Row],[Discharge_Date]]-tblEncounters5[[#This Row],[Admission_Date]]</f>
        <v>4</v>
      </c>
      <c r="L37" s="10" t="s">
        <v>54</v>
      </c>
      <c r="M37" s="9" t="s">
        <v>193</v>
      </c>
      <c r="N37" t="s">
        <v>53</v>
      </c>
      <c r="O37" t="s">
        <v>54</v>
      </c>
      <c r="P37" t="s">
        <v>53</v>
      </c>
      <c r="Q37" t="str">
        <f>_xlfn.XLOOKUP(tblEncounters5[[#This Row],[Hospital_ID]],Table1[Hospital_ID],Table1[Hospital_Name],"Not Found")</f>
        <v>Marbel General Hospital</v>
      </c>
      <c r="R37" t="str">
        <f>_xlfn.XLOOKUP(tblEncounters5[[#This Row],[Hospital_ID]],Table1[Hospital_ID],Table1[Country],"Not Found")</f>
        <v>Sweden</v>
      </c>
      <c r="S37" t="str">
        <f>_xlfn.XLOOKUP(tblEncounters5[[#This Row],[Hospital_ID]],Table1[Hospital_ID],Table1[FHIR_Enabled],"Not Found")</f>
        <v>Yes</v>
      </c>
      <c r="T37" t="str">
        <f ca="1">IF(OR(tblEncounters5[[#This Row],[Age]]="",tblEncounters5[[#This Row],[Age]]&lt;18,tblEncounters5[[#This Row],[Age]]&gt;100,tblEncounters5[[#This Row],[Department]]="",tblEncounters5[[#This Row],[Documentation_Complete]]="",tblEncounters5[[#This Row],[LOS_Days]]&lt;0),"Review","OK")</f>
        <v>OK</v>
      </c>
      <c r="U37" t="str">
        <f>IF(COUNTIF(tblEncounters5[[#All],[Encounter_ID]],tblEncounters5[[#This Row],[Encounter_ID]])&gt;1,"Duplicate","Unique")</f>
        <v>Unique</v>
      </c>
      <c r="V37" t="str">
        <f>PROPER(TRIM(tblEncounters5[[#This Row],[Department]]))</f>
        <v>General Surgery</v>
      </c>
      <c r="W37" t="str">
        <f>IF(LOWER(TRIM(tblEncounters5[[#This Row],[Sex]]))="male","Male",IF(LOWER(TRIM(tblEncounters5[[#This Row],[Sex]]))="female","Female","Review"))</f>
        <v>Female</v>
      </c>
      <c r="X37" t="str">
        <f>IF(OR(LOWER(TRIM(tblEncounters5[[#This Row],[Admission_Type]]))="emergency",LOWER(TRIM(tblEncounters5[[#This Row],[Admission_Type]]))="emerg"),"Emergency",IF(LOWER(TRIM(tblEncounters5[[#This Row],[Admission_Type]]))="planned","Planned","Review"))</f>
        <v>Planned</v>
      </c>
      <c r="Y37" t="str">
        <f ca="1">IF(tblEncounters5[[#This Row],[Discharge_Date]]="","Missing Discharge",IF(tblEncounters5[[#This Row],[Discharge_Date]]&lt;tblEncounters5[[#This Row],[Admission_Date]],"Invalid Date","OK"))</f>
        <v>OK</v>
      </c>
      <c r="Z37">
        <f ca="1">IF(OR(tblEncounters5[[#This Row],[Admission_Date]]="",tblEncounters5[[#This Row],[Discharge_Date]]=""),"",tblEncounters5[[#This Row],[Discharge_Date]]-tblEncounters5[[#This Row],[Admission_Date]])</f>
        <v>4</v>
      </c>
      <c r="AA37" t="str">
        <f ca="1">IF(tblEncounters5[[#This Row],[Calculated_LOS]]="","Missing",IF(tblEncounters5[[#This Row],[Calculated_LOS]]=tblEncounters5[[#This Row],[LOS_Days]],"Match","Mismatch"))</f>
        <v>Match</v>
      </c>
      <c r="AB37" t="str">
        <f>IF(COUNTIF(tblEncounters[Hospital_ID],tblEncounters5[[#This Row],[Hospital_ID]])=1,"Valid","Invalid")</f>
        <v>Invalid</v>
      </c>
      <c r="AC37"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38" spans="1:29" hidden="1">
      <c r="A38" t="s">
        <v>119</v>
      </c>
      <c r="B38" t="s">
        <v>169</v>
      </c>
      <c r="C38" t="s">
        <v>17</v>
      </c>
      <c r="D38">
        <v>26</v>
      </c>
      <c r="E38" t="str">
        <f>IF(tblEncounters5[[#This Row],[Age]]&lt;30,"18-29",IF(tblEncounters5[[#This Row],[Age]]&lt;45,"30-44",IF(tblEncounters5[[#This Row],[Age]]&lt;60,"45-59",IF(tblEncounters5[[#This Row],[Age]]&lt;75,"60-74","75+"))))</f>
        <v>18-29</v>
      </c>
      <c r="F38" t="s">
        <v>183</v>
      </c>
      <c r="G38" t="s">
        <v>185</v>
      </c>
      <c r="H38" t="s">
        <v>191</v>
      </c>
      <c r="I38" s="10">
        <v>46106</v>
      </c>
      <c r="J38" s="10">
        <f ca="1">tblEncounters5[[#This Row],[Admission_Date]]+RANDBETWEEN(1,12)</f>
        <v>46114</v>
      </c>
      <c r="K38">
        <f ca="1">tblEncounters5[[#This Row],[Discharge_Date]]-tblEncounters5[[#This Row],[Admission_Date]]</f>
        <v>8</v>
      </c>
      <c r="L38" s="10" t="s">
        <v>53</v>
      </c>
      <c r="M38" s="9" t="s">
        <v>194</v>
      </c>
      <c r="N38" t="s">
        <v>53</v>
      </c>
      <c r="O38" t="s">
        <v>54</v>
      </c>
      <c r="P38" t="s">
        <v>53</v>
      </c>
      <c r="Q38" t="str">
        <f>_xlfn.XLOOKUP(tblEncounters5[[#This Row],[Hospital_ID]],Table1[Hospital_ID],Table1[Hospital_Name],"Not Found")</f>
        <v>Helix Medical Centre</v>
      </c>
      <c r="R38" t="str">
        <f>_xlfn.XLOOKUP(tblEncounters5[[#This Row],[Hospital_ID]],Table1[Hospital_ID],Table1[Country],"Not Found")</f>
        <v>Denmark</v>
      </c>
      <c r="S38" t="str">
        <f>_xlfn.XLOOKUP(tblEncounters5[[#This Row],[Hospital_ID]],Table1[Hospital_ID],Table1[FHIR_Enabled],"Not Found")</f>
        <v>Partial</v>
      </c>
      <c r="T38" t="str">
        <f ca="1">IF(OR(tblEncounters5[[#This Row],[Age]]="",tblEncounters5[[#This Row],[Age]]&lt;18,tblEncounters5[[#This Row],[Age]]&gt;100,tblEncounters5[[#This Row],[Department]]="",tblEncounters5[[#This Row],[Documentation_Complete]]="",tblEncounters5[[#This Row],[LOS_Days]]&lt;0),"Review","OK")</f>
        <v>OK</v>
      </c>
      <c r="U38" t="str">
        <f>IF(COUNTIF(tblEncounters5[[#All],[Encounter_ID]],tblEncounters5[[#This Row],[Encounter_ID]])&gt;1,"Duplicate","Unique")</f>
        <v>Unique</v>
      </c>
      <c r="V38" t="str">
        <f>PROPER(TRIM(tblEncounters5[[#This Row],[Department]]))</f>
        <v>General Medicine</v>
      </c>
      <c r="W38" t="str">
        <f>IF(LOWER(TRIM(tblEncounters5[[#This Row],[Sex]]))="male","Male",IF(LOWER(TRIM(tblEncounters5[[#This Row],[Sex]]))="female","Female","Review"))</f>
        <v>Male</v>
      </c>
      <c r="X38" t="str">
        <f>IF(OR(LOWER(TRIM(tblEncounters5[[#This Row],[Admission_Type]]))="emergency",LOWER(TRIM(tblEncounters5[[#This Row],[Admission_Type]]))="emerg"),"Emergency",IF(LOWER(TRIM(tblEncounters5[[#This Row],[Admission_Type]]))="planned","Planned","Review"))</f>
        <v>Emergency</v>
      </c>
      <c r="Y38" t="str">
        <f ca="1">IF(tblEncounters5[[#This Row],[Discharge_Date]]="","Missing Discharge",IF(tblEncounters5[[#This Row],[Discharge_Date]]&lt;tblEncounters5[[#This Row],[Admission_Date]],"Invalid Date","OK"))</f>
        <v>OK</v>
      </c>
      <c r="Z38">
        <f ca="1">IF(OR(tblEncounters5[[#This Row],[Admission_Date]]="",tblEncounters5[[#This Row],[Discharge_Date]]=""),"",tblEncounters5[[#This Row],[Discharge_Date]]-tblEncounters5[[#This Row],[Admission_Date]])</f>
        <v>8</v>
      </c>
      <c r="AA38" t="str">
        <f ca="1">IF(tblEncounters5[[#This Row],[Calculated_LOS]]="","Missing",IF(tblEncounters5[[#This Row],[Calculated_LOS]]=tblEncounters5[[#This Row],[LOS_Days]],"Match","Mismatch"))</f>
        <v>Match</v>
      </c>
      <c r="AB38" t="str">
        <f>IF(COUNTIF(tblEncounters[Hospital_ID],tblEncounters5[[#This Row],[Hospital_ID]])=1,"Valid","Invalid")</f>
        <v>Invalid</v>
      </c>
      <c r="AC38"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39" spans="1:29" hidden="1">
      <c r="A39" t="s">
        <v>120</v>
      </c>
      <c r="B39" t="s">
        <v>170</v>
      </c>
      <c r="C39" t="s">
        <v>18</v>
      </c>
      <c r="D39">
        <v>87</v>
      </c>
      <c r="E39" t="str">
        <f>IF(tblEncounters5[[#This Row],[Age]]&lt;30,"18-29",IF(tblEncounters5[[#This Row],[Age]]&lt;45,"30-44",IF(tblEncounters5[[#This Row],[Age]]&lt;60,"45-59",IF(tblEncounters5[[#This Row],[Age]]&lt;75,"60-74","75+"))))</f>
        <v>75+</v>
      </c>
      <c r="F39" t="s">
        <v>184</v>
      </c>
      <c r="G39" t="s">
        <v>186</v>
      </c>
      <c r="H39" t="s">
        <v>192</v>
      </c>
      <c r="I39" s="10">
        <v>46079</v>
      </c>
      <c r="J39" s="10">
        <f ca="1">tblEncounters5[[#This Row],[Admission_Date]]+RANDBETWEEN(1,12)</f>
        <v>46082</v>
      </c>
      <c r="K39">
        <f ca="1">tblEncounters5[[#This Row],[Discharge_Date]]-tblEncounters5[[#This Row],[Admission_Date]]</f>
        <v>3</v>
      </c>
      <c r="L39" s="10" t="s">
        <v>54</v>
      </c>
      <c r="M39" t="s">
        <v>195</v>
      </c>
      <c r="N39" t="s">
        <v>53</v>
      </c>
      <c r="O39" t="s">
        <v>54</v>
      </c>
      <c r="P39" t="s">
        <v>53</v>
      </c>
      <c r="Q39" t="str">
        <f>_xlfn.XLOOKUP(tblEncounters5[[#This Row],[Hospital_ID]],Table1[Hospital_ID],Table1[Hospital_Name],"Not Found")</f>
        <v>St.Aldric University Hospital</v>
      </c>
      <c r="R39" t="str">
        <f>_xlfn.XLOOKUP(tblEncounters5[[#This Row],[Hospital_ID]],Table1[Hospital_ID],Table1[Country],"Not Found")</f>
        <v>Finland</v>
      </c>
      <c r="S39" t="str">
        <f>_xlfn.XLOOKUP(tblEncounters5[[#This Row],[Hospital_ID]],Table1[Hospital_ID],Table1[FHIR_Enabled],"Not Found")</f>
        <v>Yes</v>
      </c>
      <c r="T39" t="str">
        <f ca="1">IF(OR(tblEncounters5[[#This Row],[Age]]="",tblEncounters5[[#This Row],[Age]]&lt;18,tblEncounters5[[#This Row],[Age]]&gt;100,tblEncounters5[[#This Row],[Department]]="",tblEncounters5[[#This Row],[Documentation_Complete]]="",tblEncounters5[[#This Row],[LOS_Days]]&lt;0),"Review","OK")</f>
        <v>OK</v>
      </c>
      <c r="U39" t="str">
        <f>IF(COUNTIF(tblEncounters5[[#All],[Encounter_ID]],tblEncounters5[[#This Row],[Encounter_ID]])&gt;1,"Duplicate","Unique")</f>
        <v>Unique</v>
      </c>
      <c r="V39" t="str">
        <f>PROPER(TRIM(tblEncounters5[[#This Row],[Department]]))</f>
        <v>Cardiology</v>
      </c>
      <c r="W39" t="str">
        <f>IF(LOWER(TRIM(tblEncounters5[[#This Row],[Sex]]))="male","Male",IF(LOWER(TRIM(tblEncounters5[[#This Row],[Sex]]))="female","Female","Review"))</f>
        <v>Female</v>
      </c>
      <c r="X39" t="str">
        <f>IF(OR(LOWER(TRIM(tblEncounters5[[#This Row],[Admission_Type]]))="emergency",LOWER(TRIM(tblEncounters5[[#This Row],[Admission_Type]]))="emerg"),"Emergency",IF(LOWER(TRIM(tblEncounters5[[#This Row],[Admission_Type]]))="planned","Planned","Review"))</f>
        <v>Planned</v>
      </c>
      <c r="Y39" t="str">
        <f ca="1">IF(tblEncounters5[[#This Row],[Discharge_Date]]="","Missing Discharge",IF(tblEncounters5[[#This Row],[Discharge_Date]]&lt;tblEncounters5[[#This Row],[Admission_Date]],"Invalid Date","OK"))</f>
        <v>OK</v>
      </c>
      <c r="Z39">
        <f ca="1">IF(OR(tblEncounters5[[#This Row],[Admission_Date]]="",tblEncounters5[[#This Row],[Discharge_Date]]=""),"",tblEncounters5[[#This Row],[Discharge_Date]]-tblEncounters5[[#This Row],[Admission_Date]])</f>
        <v>3</v>
      </c>
      <c r="AA39" t="str">
        <f ca="1">IF(tblEncounters5[[#This Row],[Calculated_LOS]]="","Missing",IF(tblEncounters5[[#This Row],[Calculated_LOS]]=tblEncounters5[[#This Row],[LOS_Days]],"Match","Mismatch"))</f>
        <v>Match</v>
      </c>
      <c r="AB39" t="str">
        <f>IF(COUNTIF(tblEncounters[Hospital_ID],tblEncounters5[[#This Row],[Hospital_ID]])=1,"Valid","Invalid")</f>
        <v>Invalid</v>
      </c>
      <c r="AC39"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40" spans="1:29" hidden="1">
      <c r="A40" t="s">
        <v>121</v>
      </c>
      <c r="B40" t="s">
        <v>171</v>
      </c>
      <c r="C40" t="s">
        <v>19</v>
      </c>
      <c r="D40">
        <v>67</v>
      </c>
      <c r="E40" t="str">
        <f>IF(tblEncounters5[[#This Row],[Age]]&lt;30,"18-29",IF(tblEncounters5[[#This Row],[Age]]&lt;45,"30-44",IF(tblEncounters5[[#This Row],[Age]]&lt;60,"45-59",IF(tblEncounters5[[#This Row],[Age]]&lt;75,"60-74","75+"))))</f>
        <v>60-74</v>
      </c>
      <c r="F40" t="s">
        <v>183</v>
      </c>
      <c r="G40" t="s">
        <v>187</v>
      </c>
      <c r="H40" t="s">
        <v>191</v>
      </c>
      <c r="I40" s="10">
        <v>46075</v>
      </c>
      <c r="J40" s="10">
        <f ca="1">tblEncounters5[[#This Row],[Admission_Date]]+RANDBETWEEN(1,12)</f>
        <v>46077</v>
      </c>
      <c r="K40">
        <f ca="1">tblEncounters5[[#This Row],[Discharge_Date]]-tblEncounters5[[#This Row],[Admission_Date]]</f>
        <v>2</v>
      </c>
      <c r="L40" s="10" t="s">
        <v>54</v>
      </c>
      <c r="M40" s="9" t="s">
        <v>196</v>
      </c>
      <c r="N40" t="s">
        <v>53</v>
      </c>
      <c r="O40" t="s">
        <v>54</v>
      </c>
      <c r="P40" t="s">
        <v>54</v>
      </c>
      <c r="Q40" t="str">
        <f>_xlfn.XLOOKUP(tblEncounters5[[#This Row],[Hospital_ID]],Table1[Hospital_ID],Table1[Hospital_Name],"Not Found")</f>
        <v>Clinica Santa Marisol</v>
      </c>
      <c r="R40" t="str">
        <f>_xlfn.XLOOKUP(tblEncounters5[[#This Row],[Hospital_ID]],Table1[Hospital_ID],Table1[Country],"Not Found")</f>
        <v>Spain</v>
      </c>
      <c r="S40" t="str">
        <f>_xlfn.XLOOKUP(tblEncounters5[[#This Row],[Hospital_ID]],Table1[Hospital_ID],Table1[FHIR_Enabled],"Not Found")</f>
        <v>Partial</v>
      </c>
      <c r="T40" t="str">
        <f ca="1">IF(OR(tblEncounters5[[#This Row],[Age]]="",tblEncounters5[[#This Row],[Age]]&lt;18,tblEncounters5[[#This Row],[Age]]&gt;100,tblEncounters5[[#This Row],[Department]]="",tblEncounters5[[#This Row],[Documentation_Complete]]="",tblEncounters5[[#This Row],[LOS_Days]]&lt;0),"Review","OK")</f>
        <v>OK</v>
      </c>
      <c r="U40" t="str">
        <f>IF(COUNTIF(tblEncounters5[[#All],[Encounter_ID]],tblEncounters5[[#This Row],[Encounter_ID]])&gt;1,"Duplicate","Unique")</f>
        <v>Unique</v>
      </c>
      <c r="V40" t="str">
        <f>PROPER(TRIM(tblEncounters5[[#This Row],[Department]]))</f>
        <v>Neurology</v>
      </c>
      <c r="W40" t="str">
        <f>IF(LOWER(TRIM(tblEncounters5[[#This Row],[Sex]]))="male","Male",IF(LOWER(TRIM(tblEncounters5[[#This Row],[Sex]]))="female","Female","Review"))</f>
        <v>Male</v>
      </c>
      <c r="X40" t="str">
        <f>IF(OR(LOWER(TRIM(tblEncounters5[[#This Row],[Admission_Type]]))="emergency",LOWER(TRIM(tblEncounters5[[#This Row],[Admission_Type]]))="emerg"),"Emergency",IF(LOWER(TRIM(tblEncounters5[[#This Row],[Admission_Type]]))="planned","Planned","Review"))</f>
        <v>Emergency</v>
      </c>
      <c r="Y40" t="str">
        <f ca="1">IF(tblEncounters5[[#This Row],[Discharge_Date]]="","Missing Discharge",IF(tblEncounters5[[#This Row],[Discharge_Date]]&lt;tblEncounters5[[#This Row],[Admission_Date]],"Invalid Date","OK"))</f>
        <v>OK</v>
      </c>
      <c r="Z40">
        <f ca="1">IF(OR(tblEncounters5[[#This Row],[Admission_Date]]="",tblEncounters5[[#This Row],[Discharge_Date]]=""),"",tblEncounters5[[#This Row],[Discharge_Date]]-tblEncounters5[[#This Row],[Admission_Date]])</f>
        <v>2</v>
      </c>
      <c r="AA40" t="str">
        <f ca="1">IF(tblEncounters5[[#This Row],[Calculated_LOS]]="","Missing",IF(tblEncounters5[[#This Row],[Calculated_LOS]]=tblEncounters5[[#This Row],[LOS_Days]],"Match","Mismatch"))</f>
        <v>Match</v>
      </c>
      <c r="AB40" t="str">
        <f>IF(COUNTIF(tblEncounters[Hospital_ID],tblEncounters5[[#This Row],[Hospital_ID]])=1,"Valid","Invalid")</f>
        <v>Invalid</v>
      </c>
      <c r="AC40"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41" spans="1:29" hidden="1">
      <c r="A41" t="s">
        <v>122</v>
      </c>
      <c r="B41" t="s">
        <v>172</v>
      </c>
      <c r="C41" t="s">
        <v>20</v>
      </c>
      <c r="D41">
        <v>64</v>
      </c>
      <c r="E41" t="str">
        <f>IF(tblEncounters5[[#This Row],[Age]]&lt;30,"18-29",IF(tblEncounters5[[#This Row],[Age]]&lt;45,"30-44",IF(tblEncounters5[[#This Row],[Age]]&lt;60,"45-59",IF(tblEncounters5[[#This Row],[Age]]&lt;75,"60-74","75+"))))</f>
        <v>60-74</v>
      </c>
      <c r="F41" t="s">
        <v>184</v>
      </c>
      <c r="G41" t="s">
        <v>188</v>
      </c>
      <c r="H41" t="s">
        <v>192</v>
      </c>
      <c r="I41" s="10">
        <v>46063</v>
      </c>
      <c r="J41" s="10">
        <f ca="1">tblEncounters5[[#This Row],[Admission_Date]]+RANDBETWEEN(1,12)</f>
        <v>46069</v>
      </c>
      <c r="K41">
        <f ca="1">tblEncounters5[[#This Row],[Discharge_Date]]-tblEncounters5[[#This Row],[Admission_Date]]</f>
        <v>6</v>
      </c>
      <c r="L41" s="10" t="s">
        <v>54</v>
      </c>
      <c r="M41" s="9" t="s">
        <v>197</v>
      </c>
      <c r="N41" t="s">
        <v>53</v>
      </c>
      <c r="O41" t="s">
        <v>54</v>
      </c>
      <c r="P41" t="s">
        <v>53</v>
      </c>
      <c r="Q41" t="str">
        <f>_xlfn.XLOOKUP(tblEncounters5[[#This Row],[Hospital_ID]],Table1[Hospital_ID],Table1[Hospital_Name],"Not Found")</f>
        <v>Nordhavan Regional Medical Centre</v>
      </c>
      <c r="R41" t="str">
        <f>_xlfn.XLOOKUP(tblEncounters5[[#This Row],[Hospital_ID]],Table1[Hospital_ID],Table1[Country],"Not Found")</f>
        <v>Italy</v>
      </c>
      <c r="S41" t="str">
        <f>_xlfn.XLOOKUP(tblEncounters5[[#This Row],[Hospital_ID]],Table1[Hospital_ID],Table1[FHIR_Enabled],"Not Found")</f>
        <v>No</v>
      </c>
      <c r="T41" t="str">
        <f ca="1">IF(OR(tblEncounters5[[#This Row],[Age]]="",tblEncounters5[[#This Row],[Age]]&lt;18,tblEncounters5[[#This Row],[Age]]&gt;100,tblEncounters5[[#This Row],[Department]]="",tblEncounters5[[#This Row],[Documentation_Complete]]="",tblEncounters5[[#This Row],[LOS_Days]]&lt;0),"Review","OK")</f>
        <v>OK</v>
      </c>
      <c r="U41" t="str">
        <f>IF(COUNTIF(tblEncounters5[[#All],[Encounter_ID]],tblEncounters5[[#This Row],[Encounter_ID]])&gt;1,"Duplicate","Unique")</f>
        <v>Unique</v>
      </c>
      <c r="V41" t="str">
        <f>PROPER(TRIM(tblEncounters5[[#This Row],[Department]]))</f>
        <v>Orthopaedics</v>
      </c>
      <c r="W41" t="str">
        <f>IF(LOWER(TRIM(tblEncounters5[[#This Row],[Sex]]))="male","Male",IF(LOWER(TRIM(tblEncounters5[[#This Row],[Sex]]))="female","Female","Review"))</f>
        <v>Female</v>
      </c>
      <c r="X41" t="str">
        <f>IF(OR(LOWER(TRIM(tblEncounters5[[#This Row],[Admission_Type]]))="emergency",LOWER(TRIM(tblEncounters5[[#This Row],[Admission_Type]]))="emerg"),"Emergency",IF(LOWER(TRIM(tblEncounters5[[#This Row],[Admission_Type]]))="planned","Planned","Review"))</f>
        <v>Planned</v>
      </c>
      <c r="Y41" t="str">
        <f ca="1">IF(tblEncounters5[[#This Row],[Discharge_Date]]="","Missing Discharge",IF(tblEncounters5[[#This Row],[Discharge_Date]]&lt;tblEncounters5[[#This Row],[Admission_Date]],"Invalid Date","OK"))</f>
        <v>OK</v>
      </c>
      <c r="Z41">
        <f ca="1">IF(OR(tblEncounters5[[#This Row],[Admission_Date]]="",tblEncounters5[[#This Row],[Discharge_Date]]=""),"",tblEncounters5[[#This Row],[Discharge_Date]]-tblEncounters5[[#This Row],[Admission_Date]])</f>
        <v>6</v>
      </c>
      <c r="AA41" t="str">
        <f ca="1">IF(tblEncounters5[[#This Row],[Calculated_LOS]]="","Missing",IF(tblEncounters5[[#This Row],[Calculated_LOS]]=tblEncounters5[[#This Row],[LOS_Days]],"Match","Mismatch"))</f>
        <v>Match</v>
      </c>
      <c r="AB41" t="str">
        <f>IF(COUNTIF(tblEncounters[Hospital_ID],tblEncounters5[[#This Row],[Hospital_ID]])=1,"Valid","Invalid")</f>
        <v>Invalid</v>
      </c>
      <c r="AC41"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42" spans="1:29" hidden="1">
      <c r="A42" t="s">
        <v>123</v>
      </c>
      <c r="B42" t="s">
        <v>173</v>
      </c>
      <c r="C42" t="s">
        <v>11</v>
      </c>
      <c r="D42">
        <v>67</v>
      </c>
      <c r="E42" t="str">
        <f>IF(tblEncounters5[[#This Row],[Age]]&lt;30,"18-29",IF(tblEncounters5[[#This Row],[Age]]&lt;45,"30-44",IF(tblEncounters5[[#This Row],[Age]]&lt;60,"45-59",IF(tblEncounters5[[#This Row],[Age]]&lt;75,"60-74","75+"))))</f>
        <v>60-74</v>
      </c>
      <c r="F42" t="s">
        <v>183</v>
      </c>
      <c r="G42" t="s">
        <v>189</v>
      </c>
      <c r="H42" t="s">
        <v>191</v>
      </c>
      <c r="I42" s="10">
        <v>46045</v>
      </c>
      <c r="J42" s="10">
        <f ca="1">tblEncounters5[[#This Row],[Admission_Date]]+RANDBETWEEN(1,12)</f>
        <v>46057</v>
      </c>
      <c r="K42">
        <f ca="1">tblEncounters5[[#This Row],[Discharge_Date]]-tblEncounters5[[#This Row],[Admission_Date]]</f>
        <v>12</v>
      </c>
      <c r="L42" s="10" t="s">
        <v>53</v>
      </c>
      <c r="M42" s="9" t="s">
        <v>193</v>
      </c>
      <c r="N42" t="s">
        <v>53</v>
      </c>
      <c r="O42" t="s">
        <v>53</v>
      </c>
      <c r="P42" t="s">
        <v>53</v>
      </c>
      <c r="Q42" t="str">
        <f>_xlfn.XLOOKUP(tblEncounters5[[#This Row],[Hospital_ID]],Table1[Hospital_ID],Table1[Hospital_Name],"Not Found")</f>
        <v>Nova Medical Centre</v>
      </c>
      <c r="R42" t="str">
        <f>_xlfn.XLOOKUP(tblEncounters5[[#This Row],[Hospital_ID]],Table1[Hospital_ID],Table1[Country],"Not Found")</f>
        <v>Germany</v>
      </c>
      <c r="S42" t="str">
        <f>_xlfn.XLOOKUP(tblEncounters5[[#This Row],[Hospital_ID]],Table1[Hospital_ID],Table1[FHIR_Enabled],"Not Found")</f>
        <v>Yes</v>
      </c>
      <c r="T42" t="str">
        <f ca="1">IF(OR(tblEncounters5[[#This Row],[Age]]="",tblEncounters5[[#This Row],[Age]]&lt;18,tblEncounters5[[#This Row],[Age]]&gt;100,tblEncounters5[[#This Row],[Department]]="",tblEncounters5[[#This Row],[Documentation_Complete]]="",tblEncounters5[[#This Row],[LOS_Days]]&lt;0),"Review","OK")</f>
        <v>OK</v>
      </c>
      <c r="U42" t="str">
        <f>IF(COUNTIF(tblEncounters5[[#All],[Encounter_ID]],tblEncounters5[[#This Row],[Encounter_ID]])&gt;1,"Duplicate","Unique")</f>
        <v>Unique</v>
      </c>
      <c r="V42" t="str">
        <f>PROPER(TRIM(tblEncounters5[[#This Row],[Department]]))</f>
        <v>Psychiatry</v>
      </c>
      <c r="W42" t="str">
        <f>IF(LOWER(TRIM(tblEncounters5[[#This Row],[Sex]]))="male","Male",IF(LOWER(TRIM(tblEncounters5[[#This Row],[Sex]]))="female","Female","Review"))</f>
        <v>Male</v>
      </c>
      <c r="X42" t="str">
        <f>IF(OR(LOWER(TRIM(tblEncounters5[[#This Row],[Admission_Type]]))="emergency",LOWER(TRIM(tblEncounters5[[#This Row],[Admission_Type]]))="emerg"),"Emergency",IF(LOWER(TRIM(tblEncounters5[[#This Row],[Admission_Type]]))="planned","Planned","Review"))</f>
        <v>Emergency</v>
      </c>
      <c r="Y42" t="str">
        <f ca="1">IF(tblEncounters5[[#This Row],[Discharge_Date]]="","Missing Discharge",IF(tblEncounters5[[#This Row],[Discharge_Date]]&lt;tblEncounters5[[#This Row],[Admission_Date]],"Invalid Date","OK"))</f>
        <v>OK</v>
      </c>
      <c r="Z42">
        <f ca="1">IF(OR(tblEncounters5[[#This Row],[Admission_Date]]="",tblEncounters5[[#This Row],[Discharge_Date]]=""),"",tblEncounters5[[#This Row],[Discharge_Date]]-tblEncounters5[[#This Row],[Admission_Date]])</f>
        <v>12</v>
      </c>
      <c r="AA42" t="str">
        <f ca="1">IF(tblEncounters5[[#This Row],[Calculated_LOS]]="","Missing",IF(tblEncounters5[[#This Row],[Calculated_LOS]]=tblEncounters5[[#This Row],[LOS_Days]],"Match","Mismatch"))</f>
        <v>Match</v>
      </c>
      <c r="AB42" t="str">
        <f>IF(COUNTIF(tblEncounters[Hospital_ID],tblEncounters5[[#This Row],[Hospital_ID]])=1,"Valid","Invalid")</f>
        <v>Invalid</v>
      </c>
      <c r="AC42"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43" spans="1:29">
      <c r="A43" t="s">
        <v>124</v>
      </c>
      <c r="B43" t="s">
        <v>174</v>
      </c>
      <c r="C43" t="s">
        <v>12</v>
      </c>
      <c r="D43">
        <v>-3</v>
      </c>
      <c r="E43" t="str">
        <f>IF(tblEncounters5[[#This Row],[Age]]&lt;30,"18-29",IF(tblEncounters5[[#This Row],[Age]]&lt;45,"30-44",IF(tblEncounters5[[#This Row],[Age]]&lt;60,"45-59",IF(tblEncounters5[[#This Row],[Age]]&lt;75,"60-74","75+"))))</f>
        <v>18-29</v>
      </c>
      <c r="F43" t="s">
        <v>184</v>
      </c>
      <c r="G43" t="s">
        <v>190</v>
      </c>
      <c r="H43" t="s">
        <v>192</v>
      </c>
      <c r="I43" s="10">
        <v>46100</v>
      </c>
      <c r="J43" s="10">
        <f ca="1">tblEncounters5[[#This Row],[Admission_Date]]+RANDBETWEEN(1,12)</f>
        <v>46103</v>
      </c>
      <c r="K43">
        <f ca="1">tblEncounters5[[#This Row],[Discharge_Date]]-tblEncounters5[[#This Row],[Admission_Date]]</f>
        <v>3</v>
      </c>
      <c r="L43" s="10" t="s">
        <v>54</v>
      </c>
      <c r="M43" s="9" t="s">
        <v>194</v>
      </c>
      <c r="N43" t="s">
        <v>53</v>
      </c>
      <c r="O43" t="s">
        <v>54</v>
      </c>
      <c r="P43" t="s">
        <v>53</v>
      </c>
      <c r="Q43" t="str">
        <f>_xlfn.XLOOKUP(tblEncounters5[[#This Row],[Hospital_ID]],Table1[Hospital_ID],Table1[Hospital_Name],"Not Found")</f>
        <v>Aurora Medical Centre</v>
      </c>
      <c r="R43" t="str">
        <f>_xlfn.XLOOKUP(tblEncounters5[[#This Row],[Hospital_ID]],Table1[Hospital_ID],Table1[Country],"Not Found")</f>
        <v>Netherland</v>
      </c>
      <c r="S43" t="str">
        <f>_xlfn.XLOOKUP(tblEncounters5[[#This Row],[Hospital_ID]],Table1[Hospital_ID],Table1[FHIR_Enabled],"Not Found")</f>
        <v>Yes</v>
      </c>
      <c r="T43" t="str">
        <f ca="1">IF(OR(tblEncounters5[[#This Row],[Age]]="",tblEncounters5[[#This Row],[Age]]&lt;18,tblEncounters5[[#This Row],[Age]]&gt;100,tblEncounters5[[#This Row],[Department]]="",tblEncounters5[[#This Row],[Documentation_Complete]]="",tblEncounters5[[#This Row],[LOS_Days]]&lt;0),"Review","OK")</f>
        <v>Review</v>
      </c>
      <c r="U43" t="str">
        <f>IF(COUNTIF(tblEncounters5[[#All],[Encounter_ID]],tblEncounters5[[#This Row],[Encounter_ID]])&gt;1,"Duplicate","Unique")</f>
        <v>Unique</v>
      </c>
      <c r="V43" t="str">
        <f>PROPER(TRIM(tblEncounters5[[#This Row],[Department]]))</f>
        <v>General Surgery</v>
      </c>
      <c r="W43" t="str">
        <f>IF(LOWER(TRIM(tblEncounters5[[#This Row],[Sex]]))="male","Male",IF(LOWER(TRIM(tblEncounters5[[#This Row],[Sex]]))="female","Female","Review"))</f>
        <v>Female</v>
      </c>
      <c r="X43" t="str">
        <f>IF(OR(LOWER(TRIM(tblEncounters5[[#This Row],[Admission_Type]]))="emergency",LOWER(TRIM(tblEncounters5[[#This Row],[Admission_Type]]))="emerg"),"Emergency",IF(LOWER(TRIM(tblEncounters5[[#This Row],[Admission_Type]]))="planned","Planned","Review"))</f>
        <v>Planned</v>
      </c>
      <c r="Y43" t="str">
        <f ca="1">IF(tblEncounters5[[#This Row],[Discharge_Date]]="","Missing Discharge",IF(tblEncounters5[[#This Row],[Discharge_Date]]&lt;tblEncounters5[[#This Row],[Admission_Date]],"Invalid Date","OK"))</f>
        <v>OK</v>
      </c>
      <c r="Z43">
        <f ca="1">IF(OR(tblEncounters5[[#This Row],[Admission_Date]]="",tblEncounters5[[#This Row],[Discharge_Date]]=""),"",tblEncounters5[[#This Row],[Discharge_Date]]-tblEncounters5[[#This Row],[Admission_Date]])</f>
        <v>3</v>
      </c>
      <c r="AA43" t="str">
        <f ca="1">IF(tblEncounters5[[#This Row],[Calculated_LOS]]="","Missing",IF(tblEncounters5[[#This Row],[Calculated_LOS]]=tblEncounters5[[#This Row],[LOS_Days]],"Match","Mismatch"))</f>
        <v>Match</v>
      </c>
      <c r="AB43" t="str">
        <f>IF(COUNTIF(tblEncounters[Hospital_ID],tblEncounters5[[#This Row],[Hospital_ID]])=1,"Valid","Invalid")</f>
        <v>Invalid</v>
      </c>
      <c r="AC43" t="str">
        <f>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Invalid Age</v>
      </c>
    </row>
    <row r="44" spans="1:29" hidden="1">
      <c r="A44" t="s">
        <v>125</v>
      </c>
      <c r="B44" t="s">
        <v>175</v>
      </c>
      <c r="C44" t="s">
        <v>13</v>
      </c>
      <c r="D44">
        <v>80</v>
      </c>
      <c r="E44" t="str">
        <f>IF(tblEncounters5[[#This Row],[Age]]&lt;30,"18-29",IF(tblEncounters5[[#This Row],[Age]]&lt;45,"30-44",IF(tblEncounters5[[#This Row],[Age]]&lt;60,"45-59",IF(tblEncounters5[[#This Row],[Age]]&lt;75,"60-74","75+"))))</f>
        <v>75+</v>
      </c>
      <c r="F44" t="s">
        <v>183</v>
      </c>
      <c r="G44" t="s">
        <v>185</v>
      </c>
      <c r="H44" t="s">
        <v>191</v>
      </c>
      <c r="I44" s="10">
        <v>46094</v>
      </c>
      <c r="J44" s="10">
        <f ca="1">tblEncounters5[[#This Row],[Admission_Date]]+RANDBETWEEN(1,12)</f>
        <v>46106</v>
      </c>
      <c r="K44">
        <f ca="1">tblEncounters5[[#This Row],[Discharge_Date]]-tblEncounters5[[#This Row],[Admission_Date]]</f>
        <v>12</v>
      </c>
      <c r="L44" s="10" t="s">
        <v>54</v>
      </c>
      <c r="M44" t="s">
        <v>195</v>
      </c>
      <c r="N44" t="s">
        <v>53</v>
      </c>
      <c r="O44" t="s">
        <v>54</v>
      </c>
      <c r="P44" t="s">
        <v>53</v>
      </c>
      <c r="Q44" t="str">
        <f>_xlfn.XLOOKUP(tblEncounters5[[#This Row],[Hospital_ID]],Table1[Hospital_ID],Table1[Hospital_Name],"Not Found")</f>
        <v>Helis General Hospital</v>
      </c>
      <c r="R44" t="str">
        <f>_xlfn.XLOOKUP(tblEncounters5[[#This Row],[Hospital_ID]],Table1[Hospital_ID],Table1[Country],"Not Found")</f>
        <v>Austria</v>
      </c>
      <c r="S44" t="str">
        <f>_xlfn.XLOOKUP(tblEncounters5[[#This Row],[Hospital_ID]],Table1[Hospital_ID],Table1[FHIR_Enabled],"Not Found")</f>
        <v>Partial</v>
      </c>
      <c r="T44" t="str">
        <f ca="1">IF(OR(tblEncounters5[[#This Row],[Age]]="",tblEncounters5[[#This Row],[Age]]&lt;18,tblEncounters5[[#This Row],[Age]]&gt;100,tblEncounters5[[#This Row],[Department]]="",tblEncounters5[[#This Row],[Documentation_Complete]]="",tblEncounters5[[#This Row],[LOS_Days]]&lt;0),"Review","OK")</f>
        <v>OK</v>
      </c>
      <c r="U44" t="str">
        <f>IF(COUNTIF(tblEncounters5[[#All],[Encounter_ID]],tblEncounters5[[#This Row],[Encounter_ID]])&gt;1,"Duplicate","Unique")</f>
        <v>Unique</v>
      </c>
      <c r="V44" t="str">
        <f>PROPER(TRIM(tblEncounters5[[#This Row],[Department]]))</f>
        <v>General Medicine</v>
      </c>
      <c r="W44" t="str">
        <f>IF(LOWER(TRIM(tblEncounters5[[#This Row],[Sex]]))="male","Male",IF(LOWER(TRIM(tblEncounters5[[#This Row],[Sex]]))="female","Female","Review"))</f>
        <v>Male</v>
      </c>
      <c r="X44" t="str">
        <f>IF(OR(LOWER(TRIM(tblEncounters5[[#This Row],[Admission_Type]]))="emergency",LOWER(TRIM(tblEncounters5[[#This Row],[Admission_Type]]))="emerg"),"Emergency",IF(LOWER(TRIM(tblEncounters5[[#This Row],[Admission_Type]]))="planned","Planned","Review"))</f>
        <v>Emergency</v>
      </c>
      <c r="Y44" t="str">
        <f ca="1">IF(tblEncounters5[[#This Row],[Discharge_Date]]="","Missing Discharge",IF(tblEncounters5[[#This Row],[Discharge_Date]]&lt;tblEncounters5[[#This Row],[Admission_Date]],"Invalid Date","OK"))</f>
        <v>OK</v>
      </c>
      <c r="Z44">
        <f ca="1">IF(OR(tblEncounters5[[#This Row],[Admission_Date]]="",tblEncounters5[[#This Row],[Discharge_Date]]=""),"",tblEncounters5[[#This Row],[Discharge_Date]]-tblEncounters5[[#This Row],[Admission_Date]])</f>
        <v>12</v>
      </c>
      <c r="AA44" t="str">
        <f ca="1">IF(tblEncounters5[[#This Row],[Calculated_LOS]]="","Missing",IF(tblEncounters5[[#This Row],[Calculated_LOS]]=tblEncounters5[[#This Row],[LOS_Days]],"Match","Mismatch"))</f>
        <v>Match</v>
      </c>
      <c r="AB44" t="str">
        <f>IF(COUNTIF(tblEncounters[Hospital_ID],tblEncounters5[[#This Row],[Hospital_ID]])=1,"Valid","Invalid")</f>
        <v>Invalid</v>
      </c>
      <c r="AC44"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45" spans="1:29" hidden="1">
      <c r="A45" t="s">
        <v>126</v>
      </c>
      <c r="B45" t="s">
        <v>176</v>
      </c>
      <c r="C45" t="s">
        <v>14</v>
      </c>
      <c r="D45">
        <v>73</v>
      </c>
      <c r="E45" t="str">
        <f>IF(tblEncounters5[[#This Row],[Age]]&lt;30,"18-29",IF(tblEncounters5[[#This Row],[Age]]&lt;45,"30-44",IF(tblEncounters5[[#This Row],[Age]]&lt;60,"45-59",IF(tblEncounters5[[#This Row],[Age]]&lt;75,"60-74","75+"))))</f>
        <v>60-74</v>
      </c>
      <c r="F45" t="s">
        <v>184</v>
      </c>
      <c r="G45" t="s">
        <v>186</v>
      </c>
      <c r="H45" t="s">
        <v>191</v>
      </c>
      <c r="I45" s="10">
        <v>46088</v>
      </c>
      <c r="J45" s="10">
        <f ca="1">tblEncounters5[[#This Row],[Admission_Date]]+RANDBETWEEN(1,12)</f>
        <v>46090</v>
      </c>
      <c r="K45">
        <f ca="1">tblEncounters5[[#This Row],[Discharge_Date]]-tblEncounters5[[#This Row],[Admission_Date]]</f>
        <v>2</v>
      </c>
      <c r="L45" s="10" t="s">
        <v>54</v>
      </c>
      <c r="M45" s="9" t="s">
        <v>196</v>
      </c>
      <c r="N45" t="s">
        <v>54</v>
      </c>
      <c r="O45" t="s">
        <v>54</v>
      </c>
      <c r="P45" t="s">
        <v>53</v>
      </c>
      <c r="Q45" t="str">
        <f>_xlfn.XLOOKUP(tblEncounters5[[#This Row],[Hospital_ID]],Table1[Hospital_ID],Table1[Hospital_Name],"Not Found")</f>
        <v>St. Clara Medical Centre</v>
      </c>
      <c r="R45" t="str">
        <f>_xlfn.XLOOKUP(tblEncounters5[[#This Row],[Hospital_ID]],Table1[Hospital_ID],Table1[Country],"Not Found")</f>
        <v>France</v>
      </c>
      <c r="S45" t="str">
        <f>_xlfn.XLOOKUP(tblEncounters5[[#This Row],[Hospital_ID]],Table1[Hospital_ID],Table1[FHIR_Enabled],"Not Found")</f>
        <v>Yes</v>
      </c>
      <c r="T45" t="str">
        <f ca="1">IF(OR(tblEncounters5[[#This Row],[Age]]="",tblEncounters5[[#This Row],[Age]]&lt;18,tblEncounters5[[#This Row],[Age]]&gt;100,tblEncounters5[[#This Row],[Department]]="",tblEncounters5[[#This Row],[Documentation_Complete]]="",tblEncounters5[[#This Row],[LOS_Days]]&lt;0),"Review","OK")</f>
        <v>OK</v>
      </c>
      <c r="U45" t="str">
        <f>IF(COUNTIF(tblEncounters5[[#All],[Encounter_ID]],tblEncounters5[[#This Row],[Encounter_ID]])&gt;1,"Duplicate","Unique")</f>
        <v>Unique</v>
      </c>
      <c r="V45" t="str">
        <f>PROPER(TRIM(tblEncounters5[[#This Row],[Department]]))</f>
        <v>Cardiology</v>
      </c>
      <c r="W45" t="str">
        <f>IF(LOWER(TRIM(tblEncounters5[[#This Row],[Sex]]))="male","Male",IF(LOWER(TRIM(tblEncounters5[[#This Row],[Sex]]))="female","Female","Review"))</f>
        <v>Female</v>
      </c>
      <c r="X45" t="str">
        <f>IF(OR(LOWER(TRIM(tblEncounters5[[#This Row],[Admission_Type]]))="emergency",LOWER(TRIM(tblEncounters5[[#This Row],[Admission_Type]]))="emerg"),"Emergency",IF(LOWER(TRIM(tblEncounters5[[#This Row],[Admission_Type]]))="planned","Planned","Review"))</f>
        <v>Emergency</v>
      </c>
      <c r="Y45" t="str">
        <f ca="1">IF(tblEncounters5[[#This Row],[Discharge_Date]]="","Missing Discharge",IF(tblEncounters5[[#This Row],[Discharge_Date]]&lt;tblEncounters5[[#This Row],[Admission_Date]],"Invalid Date","OK"))</f>
        <v>OK</v>
      </c>
      <c r="Z45">
        <f ca="1">IF(OR(tblEncounters5[[#This Row],[Admission_Date]]="",tblEncounters5[[#This Row],[Discharge_Date]]=""),"",tblEncounters5[[#This Row],[Discharge_Date]]-tblEncounters5[[#This Row],[Admission_Date]])</f>
        <v>2</v>
      </c>
      <c r="AA45" t="str">
        <f ca="1">IF(tblEncounters5[[#This Row],[Calculated_LOS]]="","Missing",IF(tblEncounters5[[#This Row],[Calculated_LOS]]=tblEncounters5[[#This Row],[LOS_Days]],"Match","Mismatch"))</f>
        <v>Match</v>
      </c>
      <c r="AB45" t="str">
        <f>IF(COUNTIF(tblEncounters[Hospital_ID],tblEncounters5[[#This Row],[Hospital_ID]])=1,"Valid","Invalid")</f>
        <v>Invalid</v>
      </c>
      <c r="AC45"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46" spans="1:29" hidden="1">
      <c r="A46" t="s">
        <v>127</v>
      </c>
      <c r="B46" t="s">
        <v>177</v>
      </c>
      <c r="C46" t="s">
        <v>15</v>
      </c>
      <c r="D46">
        <v>68</v>
      </c>
      <c r="E46" t="str">
        <f>IF(tblEncounters5[[#This Row],[Age]]&lt;30,"18-29",IF(tblEncounters5[[#This Row],[Age]]&lt;45,"30-44",IF(tblEncounters5[[#This Row],[Age]]&lt;60,"45-59",IF(tblEncounters5[[#This Row],[Age]]&lt;75,"60-74","75+"))))</f>
        <v>60-74</v>
      </c>
      <c r="F46" t="s">
        <v>183</v>
      </c>
      <c r="G46" t="s">
        <v>187</v>
      </c>
      <c r="H46" t="s">
        <v>191</v>
      </c>
      <c r="I46" s="10">
        <v>46030</v>
      </c>
      <c r="J46" s="10">
        <f ca="1">tblEncounters5[[#This Row],[Admission_Date]]+RANDBETWEEN(1,12)</f>
        <v>46035</v>
      </c>
      <c r="K46">
        <f ca="1">tblEncounters5[[#This Row],[Discharge_Date]]-tblEncounters5[[#This Row],[Admission_Date]]</f>
        <v>5</v>
      </c>
      <c r="L46" s="10" t="s">
        <v>53</v>
      </c>
      <c r="M46" s="9" t="s">
        <v>197</v>
      </c>
      <c r="N46" t="s">
        <v>53</v>
      </c>
      <c r="O46" t="s">
        <v>53</v>
      </c>
      <c r="P46" t="s">
        <v>53</v>
      </c>
      <c r="Q46" t="str">
        <f>_xlfn.XLOOKUP(tblEncounters5[[#This Row],[Hospital_ID]],Table1[Hospital_ID],Table1[Hospital_Name],"Not Found")</f>
        <v>Europa Health Institute</v>
      </c>
      <c r="R46" t="str">
        <f>_xlfn.XLOOKUP(tblEncounters5[[#This Row],[Hospital_ID]],Table1[Hospital_ID],Table1[Country],"Not Found")</f>
        <v xml:space="preserve">Belgium </v>
      </c>
      <c r="S46" t="str">
        <f>_xlfn.XLOOKUP(tblEncounters5[[#This Row],[Hospital_ID]],Table1[Hospital_ID],Table1[FHIR_Enabled],"Not Found")</f>
        <v>Yes</v>
      </c>
      <c r="T46" t="str">
        <f ca="1">IF(OR(tblEncounters5[[#This Row],[Age]]="",tblEncounters5[[#This Row],[Age]]&lt;18,tblEncounters5[[#This Row],[Age]]&gt;100,tblEncounters5[[#This Row],[Department]]="",tblEncounters5[[#This Row],[Documentation_Complete]]="",tblEncounters5[[#This Row],[LOS_Days]]&lt;0),"Review","OK")</f>
        <v>OK</v>
      </c>
      <c r="U46" t="str">
        <f>IF(COUNTIF(tblEncounters5[[#All],[Encounter_ID]],tblEncounters5[[#This Row],[Encounter_ID]])&gt;1,"Duplicate","Unique")</f>
        <v>Unique</v>
      </c>
      <c r="V46" t="str">
        <f>PROPER(TRIM(tblEncounters5[[#This Row],[Department]]))</f>
        <v>Neurology</v>
      </c>
      <c r="W46" t="str">
        <f>IF(LOWER(TRIM(tblEncounters5[[#This Row],[Sex]]))="male","Male",IF(LOWER(TRIM(tblEncounters5[[#This Row],[Sex]]))="female","Female","Review"))</f>
        <v>Male</v>
      </c>
      <c r="X46" t="str">
        <f>IF(OR(LOWER(TRIM(tblEncounters5[[#This Row],[Admission_Type]]))="emergency",LOWER(TRIM(tblEncounters5[[#This Row],[Admission_Type]]))="emerg"),"Emergency",IF(LOWER(TRIM(tblEncounters5[[#This Row],[Admission_Type]]))="planned","Planned","Review"))</f>
        <v>Emergency</v>
      </c>
      <c r="Y46" t="str">
        <f ca="1">IF(tblEncounters5[[#This Row],[Discharge_Date]]="","Missing Discharge",IF(tblEncounters5[[#This Row],[Discharge_Date]]&lt;tblEncounters5[[#This Row],[Admission_Date]],"Invalid Date","OK"))</f>
        <v>OK</v>
      </c>
      <c r="Z46">
        <f ca="1">IF(OR(tblEncounters5[[#This Row],[Admission_Date]]="",tblEncounters5[[#This Row],[Discharge_Date]]=""),"",tblEncounters5[[#This Row],[Discharge_Date]]-tblEncounters5[[#This Row],[Admission_Date]])</f>
        <v>5</v>
      </c>
      <c r="AA46" t="str">
        <f ca="1">IF(tblEncounters5[[#This Row],[Calculated_LOS]]="","Missing",IF(tblEncounters5[[#This Row],[Calculated_LOS]]=tblEncounters5[[#This Row],[LOS_Days]],"Match","Mismatch"))</f>
        <v>Match</v>
      </c>
      <c r="AB46" t="str">
        <f>IF(COUNTIF(tblEncounters[Hospital_ID],tblEncounters5[[#This Row],[Hospital_ID]])=1,"Valid","Invalid")</f>
        <v>Invalid</v>
      </c>
      <c r="AC46"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47" spans="1:29">
      <c r="A47" t="s">
        <v>128</v>
      </c>
      <c r="B47" t="s">
        <v>178</v>
      </c>
      <c r="C47" t="s">
        <v>16</v>
      </c>
      <c r="D47">
        <v>145</v>
      </c>
      <c r="E47" t="str">
        <f>IF(tblEncounters5[[#This Row],[Age]]&lt;30,"18-29",IF(tblEncounters5[[#This Row],[Age]]&lt;45,"30-44",IF(tblEncounters5[[#This Row],[Age]]&lt;60,"45-59",IF(tblEncounters5[[#This Row],[Age]]&lt;75,"60-74","75+"))))</f>
        <v>75+</v>
      </c>
      <c r="F47" t="s">
        <v>184</v>
      </c>
      <c r="G47" t="s">
        <v>188</v>
      </c>
      <c r="H47" t="s">
        <v>192</v>
      </c>
      <c r="I47" s="10">
        <v>46067</v>
      </c>
      <c r="J47" s="10">
        <f ca="1">tblEncounters5[[#This Row],[Admission_Date]]+RANDBETWEEN(1,12)</f>
        <v>46071</v>
      </c>
      <c r="K47">
        <f ca="1">tblEncounters5[[#This Row],[Discharge_Date]]-tblEncounters5[[#This Row],[Admission_Date]]</f>
        <v>4</v>
      </c>
      <c r="L47" s="10" t="s">
        <v>54</v>
      </c>
      <c r="M47" s="9" t="s">
        <v>193</v>
      </c>
      <c r="N47" t="s">
        <v>53</v>
      </c>
      <c r="O47" t="s">
        <v>54</v>
      </c>
      <c r="P47" t="s">
        <v>53</v>
      </c>
      <c r="Q47" t="str">
        <f>_xlfn.XLOOKUP(tblEncounters5[[#This Row],[Hospital_ID]],Table1[Hospital_ID],Table1[Hospital_Name],"Not Found")</f>
        <v>Marbel General Hospital</v>
      </c>
      <c r="R47" t="str">
        <f>_xlfn.XLOOKUP(tblEncounters5[[#This Row],[Hospital_ID]],Table1[Hospital_ID],Table1[Country],"Not Found")</f>
        <v>Sweden</v>
      </c>
      <c r="S47" t="str">
        <f>_xlfn.XLOOKUP(tblEncounters5[[#This Row],[Hospital_ID]],Table1[Hospital_ID],Table1[FHIR_Enabled],"Not Found")</f>
        <v>Yes</v>
      </c>
      <c r="T47" t="str">
        <f ca="1">IF(OR(tblEncounters5[[#This Row],[Age]]="",tblEncounters5[[#This Row],[Age]]&lt;18,tblEncounters5[[#This Row],[Age]]&gt;100,tblEncounters5[[#This Row],[Department]]="",tblEncounters5[[#This Row],[Documentation_Complete]]="",tblEncounters5[[#This Row],[LOS_Days]]&lt;0),"Review","OK")</f>
        <v>Review</v>
      </c>
      <c r="U47" t="str">
        <f>IF(COUNTIF(tblEncounters5[[#All],[Encounter_ID]],tblEncounters5[[#This Row],[Encounter_ID]])&gt;1,"Duplicate","Unique")</f>
        <v>Unique</v>
      </c>
      <c r="V47" t="str">
        <f>PROPER(TRIM(tblEncounters5[[#This Row],[Department]]))</f>
        <v>Orthopaedics</v>
      </c>
      <c r="W47" t="str">
        <f>IF(LOWER(TRIM(tblEncounters5[[#This Row],[Sex]]))="male","Male",IF(LOWER(TRIM(tblEncounters5[[#This Row],[Sex]]))="female","Female","Review"))</f>
        <v>Female</v>
      </c>
      <c r="X47" t="str">
        <f>IF(OR(LOWER(TRIM(tblEncounters5[[#This Row],[Admission_Type]]))="emergency",LOWER(TRIM(tblEncounters5[[#This Row],[Admission_Type]]))="emerg"),"Emergency",IF(LOWER(TRIM(tblEncounters5[[#This Row],[Admission_Type]]))="planned","Planned","Review"))</f>
        <v>Planned</v>
      </c>
      <c r="Y47" t="str">
        <f ca="1">IF(tblEncounters5[[#This Row],[Discharge_Date]]="","Missing Discharge",IF(tblEncounters5[[#This Row],[Discharge_Date]]&lt;tblEncounters5[[#This Row],[Admission_Date]],"Invalid Date","OK"))</f>
        <v>OK</v>
      </c>
      <c r="Z47">
        <f ca="1">IF(OR(tblEncounters5[[#This Row],[Admission_Date]]="",tblEncounters5[[#This Row],[Discharge_Date]]=""),"",tblEncounters5[[#This Row],[Discharge_Date]]-tblEncounters5[[#This Row],[Admission_Date]])</f>
        <v>4</v>
      </c>
      <c r="AA47" t="str">
        <f ca="1">IF(tblEncounters5[[#This Row],[Calculated_LOS]]="","Missing",IF(tblEncounters5[[#This Row],[Calculated_LOS]]=tblEncounters5[[#This Row],[LOS_Days]],"Match","Mismatch"))</f>
        <v>Match</v>
      </c>
      <c r="AB47" t="str">
        <f>IF(COUNTIF(tblEncounters[Hospital_ID],tblEncounters5[[#This Row],[Hospital_ID]])=1,"Valid","Invalid")</f>
        <v>Invalid</v>
      </c>
      <c r="AC47" t="str">
        <f>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Invalid Age</v>
      </c>
    </row>
    <row r="48" spans="1:29" hidden="1">
      <c r="A48" t="s">
        <v>129</v>
      </c>
      <c r="B48" t="s">
        <v>179</v>
      </c>
      <c r="C48" t="s">
        <v>17</v>
      </c>
      <c r="D48">
        <v>46</v>
      </c>
      <c r="E48" t="str">
        <f>IF(tblEncounters5[[#This Row],[Age]]&lt;30,"18-29",IF(tblEncounters5[[#This Row],[Age]]&lt;45,"30-44",IF(tblEncounters5[[#This Row],[Age]]&lt;60,"45-59",IF(tblEncounters5[[#This Row],[Age]]&lt;75,"60-74","75+"))))</f>
        <v>45-59</v>
      </c>
      <c r="F48" t="s">
        <v>183</v>
      </c>
      <c r="G48" t="s">
        <v>189</v>
      </c>
      <c r="H48" t="s">
        <v>191</v>
      </c>
      <c r="I48" s="10">
        <v>46081</v>
      </c>
      <c r="J48" s="10">
        <f ca="1">tblEncounters5[[#This Row],[Admission_Date]]+RANDBETWEEN(1,12)</f>
        <v>46086</v>
      </c>
      <c r="K48">
        <f ca="1">tblEncounters5[[#This Row],[Discharge_Date]]-tblEncounters5[[#This Row],[Admission_Date]]</f>
        <v>5</v>
      </c>
      <c r="L48" s="10" t="s">
        <v>54</v>
      </c>
      <c r="M48" s="9" t="s">
        <v>194</v>
      </c>
      <c r="N48" t="s">
        <v>53</v>
      </c>
      <c r="O48" t="s">
        <v>53</v>
      </c>
      <c r="P48" t="s">
        <v>53</v>
      </c>
      <c r="Q48" t="str">
        <f>_xlfn.XLOOKUP(tblEncounters5[[#This Row],[Hospital_ID]],Table1[Hospital_ID],Table1[Hospital_Name],"Not Found")</f>
        <v>Helix Medical Centre</v>
      </c>
      <c r="R48" t="str">
        <f>_xlfn.XLOOKUP(tblEncounters5[[#This Row],[Hospital_ID]],Table1[Hospital_ID],Table1[Country],"Not Found")</f>
        <v>Denmark</v>
      </c>
      <c r="S48" t="str">
        <f>_xlfn.XLOOKUP(tblEncounters5[[#This Row],[Hospital_ID]],Table1[Hospital_ID],Table1[FHIR_Enabled],"Not Found")</f>
        <v>Partial</v>
      </c>
      <c r="T48" t="str">
        <f ca="1">IF(OR(tblEncounters5[[#This Row],[Age]]="",tblEncounters5[[#This Row],[Age]]&lt;18,tblEncounters5[[#This Row],[Age]]&gt;100,tblEncounters5[[#This Row],[Department]]="",tblEncounters5[[#This Row],[Documentation_Complete]]="",tblEncounters5[[#This Row],[LOS_Days]]&lt;0),"Review","OK")</f>
        <v>OK</v>
      </c>
      <c r="U48" t="str">
        <f>IF(COUNTIF(tblEncounters5[[#All],[Encounter_ID]],tblEncounters5[[#This Row],[Encounter_ID]])&gt;1,"Duplicate","Unique")</f>
        <v>Unique</v>
      </c>
      <c r="V48" t="str">
        <f>PROPER(TRIM(tblEncounters5[[#This Row],[Department]]))</f>
        <v>Psychiatry</v>
      </c>
      <c r="W48" t="str">
        <f>IF(LOWER(TRIM(tblEncounters5[[#This Row],[Sex]]))="male","Male",IF(LOWER(TRIM(tblEncounters5[[#This Row],[Sex]]))="female","Female","Review"))</f>
        <v>Male</v>
      </c>
      <c r="X48" t="str">
        <f>IF(OR(LOWER(TRIM(tblEncounters5[[#This Row],[Admission_Type]]))="emergency",LOWER(TRIM(tblEncounters5[[#This Row],[Admission_Type]]))="emerg"),"Emergency",IF(LOWER(TRIM(tblEncounters5[[#This Row],[Admission_Type]]))="planned","Planned","Review"))</f>
        <v>Emergency</v>
      </c>
      <c r="Y48" t="str">
        <f ca="1">IF(tblEncounters5[[#This Row],[Discharge_Date]]="","Missing Discharge",IF(tblEncounters5[[#This Row],[Discharge_Date]]&lt;tblEncounters5[[#This Row],[Admission_Date]],"Invalid Date","OK"))</f>
        <v>OK</v>
      </c>
      <c r="Z48">
        <f ca="1">IF(OR(tblEncounters5[[#This Row],[Admission_Date]]="",tblEncounters5[[#This Row],[Discharge_Date]]=""),"",tblEncounters5[[#This Row],[Discharge_Date]]-tblEncounters5[[#This Row],[Admission_Date]])</f>
        <v>5</v>
      </c>
      <c r="AA48" t="str">
        <f ca="1">IF(tblEncounters5[[#This Row],[Calculated_LOS]]="","Missing",IF(tblEncounters5[[#This Row],[Calculated_LOS]]=tblEncounters5[[#This Row],[LOS_Days]],"Match","Mismatch"))</f>
        <v>Match</v>
      </c>
      <c r="AB48" t="str">
        <f>IF(COUNTIF(tblEncounters[Hospital_ID],tblEncounters5[[#This Row],[Hospital_ID]])=1,"Valid","Invalid")</f>
        <v>Invalid</v>
      </c>
      <c r="AC48"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49" spans="1:29" hidden="1">
      <c r="A49" t="s">
        <v>130</v>
      </c>
      <c r="B49" t="s">
        <v>180</v>
      </c>
      <c r="C49" t="s">
        <v>18</v>
      </c>
      <c r="D49">
        <v>75</v>
      </c>
      <c r="E49" t="str">
        <f>IF(tblEncounters5[[#This Row],[Age]]&lt;30,"18-29",IF(tblEncounters5[[#This Row],[Age]]&lt;45,"30-44",IF(tblEncounters5[[#This Row],[Age]]&lt;60,"45-59",IF(tblEncounters5[[#This Row],[Age]]&lt;75,"60-74","75+"))))</f>
        <v>75+</v>
      </c>
      <c r="F49" t="s">
        <v>184</v>
      </c>
      <c r="G49" t="s">
        <v>190</v>
      </c>
      <c r="H49" t="s">
        <v>212</v>
      </c>
      <c r="I49" s="10">
        <v>46088</v>
      </c>
      <c r="J49" s="10">
        <f ca="1">tblEncounters5[[#This Row],[Admission_Date]]+RANDBETWEEN(1,12)</f>
        <v>46091</v>
      </c>
      <c r="K49">
        <f ca="1">tblEncounters5[[#This Row],[Discharge_Date]]-tblEncounters5[[#This Row],[Admission_Date]]</f>
        <v>3</v>
      </c>
      <c r="L49" s="10" t="s">
        <v>54</v>
      </c>
      <c r="M49" t="s">
        <v>195</v>
      </c>
      <c r="N49" t="s">
        <v>53</v>
      </c>
      <c r="O49" t="s">
        <v>54</v>
      </c>
      <c r="P49" t="s">
        <v>53</v>
      </c>
      <c r="Q49" t="str">
        <f>_xlfn.XLOOKUP(tblEncounters5[[#This Row],[Hospital_ID]],Table1[Hospital_ID],Table1[Hospital_Name],"Not Found")</f>
        <v>St.Aldric University Hospital</v>
      </c>
      <c r="R49" t="str">
        <f>_xlfn.XLOOKUP(tblEncounters5[[#This Row],[Hospital_ID]],Table1[Hospital_ID],Table1[Country],"Not Found")</f>
        <v>Finland</v>
      </c>
      <c r="S49" t="str">
        <f>_xlfn.XLOOKUP(tblEncounters5[[#This Row],[Hospital_ID]],Table1[Hospital_ID],Table1[FHIR_Enabled],"Not Found")</f>
        <v>Yes</v>
      </c>
      <c r="T49" t="str">
        <f ca="1">IF(OR(tblEncounters5[[#This Row],[Age]]="",tblEncounters5[[#This Row],[Age]]&lt;18,tblEncounters5[[#This Row],[Age]]&gt;100,tblEncounters5[[#This Row],[Department]]="",tblEncounters5[[#This Row],[Documentation_Complete]]="",tblEncounters5[[#This Row],[LOS_Days]]&lt;0),"Review","OK")</f>
        <v>OK</v>
      </c>
      <c r="U49" t="str">
        <f>IF(COUNTIF(tblEncounters5[[#All],[Encounter_ID]],tblEncounters5[[#This Row],[Encounter_ID]])&gt;1,"Duplicate","Unique")</f>
        <v>Unique</v>
      </c>
      <c r="V49" t="str">
        <f>PROPER(TRIM(tblEncounters5[[#This Row],[Department]]))</f>
        <v>General Surgery</v>
      </c>
      <c r="W49" t="str">
        <f>IF(LOWER(TRIM(tblEncounters5[[#This Row],[Sex]]))="male","Male",IF(LOWER(TRIM(tblEncounters5[[#This Row],[Sex]]))="female","Female","Review"))</f>
        <v>Female</v>
      </c>
      <c r="X49" t="str">
        <f>IF(OR(LOWER(TRIM(tblEncounters5[[#This Row],[Admission_Type]]))="emergency",LOWER(TRIM(tblEncounters5[[#This Row],[Admission_Type]]))="emerg"),"Emergency",IF(LOWER(TRIM(tblEncounters5[[#This Row],[Admission_Type]]))="planned","Planned","Review"))</f>
        <v>Emergency</v>
      </c>
      <c r="Y49" t="str">
        <f ca="1">IF(tblEncounters5[[#This Row],[Discharge_Date]]="","Missing Discharge",IF(tblEncounters5[[#This Row],[Discharge_Date]]&lt;tblEncounters5[[#This Row],[Admission_Date]],"Invalid Date","OK"))</f>
        <v>OK</v>
      </c>
      <c r="Z49">
        <f ca="1">IF(OR(tblEncounters5[[#This Row],[Admission_Date]]="",tblEncounters5[[#This Row],[Discharge_Date]]=""),"",tblEncounters5[[#This Row],[Discharge_Date]]-tblEncounters5[[#This Row],[Admission_Date]])</f>
        <v>3</v>
      </c>
      <c r="AA49" t="str">
        <f ca="1">IF(tblEncounters5[[#This Row],[Calculated_LOS]]="","Missing",IF(tblEncounters5[[#This Row],[Calculated_LOS]]=tblEncounters5[[#This Row],[LOS_Days]],"Match","Mismatch"))</f>
        <v>Match</v>
      </c>
      <c r="AB49" t="str">
        <f>IF(COUNTIF(tblEncounters[Hospital_ID],tblEncounters5[[#This Row],[Hospital_ID]])=1,"Valid","Invalid")</f>
        <v>Invalid</v>
      </c>
      <c r="AC49"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50" spans="1:29" hidden="1">
      <c r="A50" t="s">
        <v>131</v>
      </c>
      <c r="B50" t="s">
        <v>181</v>
      </c>
      <c r="C50" t="s">
        <v>19</v>
      </c>
      <c r="D50">
        <v>63</v>
      </c>
      <c r="E50" t="str">
        <f>IF(tblEncounters5[[#This Row],[Age]]&lt;30,"18-29",IF(tblEncounters5[[#This Row],[Age]]&lt;45,"30-44",IF(tblEncounters5[[#This Row],[Age]]&lt;60,"45-59",IF(tblEncounters5[[#This Row],[Age]]&lt;75,"60-74","75+"))))</f>
        <v>60-74</v>
      </c>
      <c r="F50" t="s">
        <v>183</v>
      </c>
      <c r="G50" t="s">
        <v>185</v>
      </c>
      <c r="H50" t="s">
        <v>191</v>
      </c>
      <c r="I50" s="10">
        <v>46052</v>
      </c>
      <c r="J50" s="10">
        <f ca="1">tblEncounters5[[#This Row],[Admission_Date]]+RANDBETWEEN(1,12)</f>
        <v>46060</v>
      </c>
      <c r="K50">
        <f ca="1">tblEncounters5[[#This Row],[Discharge_Date]]-tblEncounters5[[#This Row],[Admission_Date]]</f>
        <v>8</v>
      </c>
      <c r="L50" s="10" t="s">
        <v>54</v>
      </c>
      <c r="M50" s="9" t="s">
        <v>196</v>
      </c>
      <c r="N50" t="s">
        <v>53</v>
      </c>
      <c r="O50" t="s">
        <v>53</v>
      </c>
      <c r="P50" t="s">
        <v>53</v>
      </c>
      <c r="Q50" t="str">
        <f>_xlfn.XLOOKUP(tblEncounters5[[#This Row],[Hospital_ID]],Table1[Hospital_ID],Table1[Hospital_Name],"Not Found")</f>
        <v>Clinica Santa Marisol</v>
      </c>
      <c r="R50" t="str">
        <f>_xlfn.XLOOKUP(tblEncounters5[[#This Row],[Hospital_ID]],Table1[Hospital_ID],Table1[Country],"Not Found")</f>
        <v>Spain</v>
      </c>
      <c r="S50" t="str">
        <f>_xlfn.XLOOKUP(tblEncounters5[[#This Row],[Hospital_ID]],Table1[Hospital_ID],Table1[FHIR_Enabled],"Not Found")</f>
        <v>Partial</v>
      </c>
      <c r="T50" t="str">
        <f ca="1">IF(OR(tblEncounters5[[#This Row],[Age]]="",tblEncounters5[[#This Row],[Age]]&lt;18,tblEncounters5[[#This Row],[Age]]&gt;100,tblEncounters5[[#This Row],[Department]]="",tblEncounters5[[#This Row],[Documentation_Complete]]="",tblEncounters5[[#This Row],[LOS_Days]]&lt;0),"Review","OK")</f>
        <v>OK</v>
      </c>
      <c r="U50" t="str">
        <f>IF(COUNTIF(tblEncounters5[[#All],[Encounter_ID]],tblEncounters5[[#This Row],[Encounter_ID]])&gt;1,"Duplicate","Unique")</f>
        <v>Unique</v>
      </c>
      <c r="V50" t="str">
        <f>PROPER(TRIM(tblEncounters5[[#This Row],[Department]]))</f>
        <v>General Medicine</v>
      </c>
      <c r="W50" t="str">
        <f>IF(LOWER(TRIM(tblEncounters5[[#This Row],[Sex]]))="male","Male",IF(LOWER(TRIM(tblEncounters5[[#This Row],[Sex]]))="female","Female","Review"))</f>
        <v>Male</v>
      </c>
      <c r="X50" t="str">
        <f>IF(OR(LOWER(TRIM(tblEncounters5[[#This Row],[Admission_Type]]))="emergency",LOWER(TRIM(tblEncounters5[[#This Row],[Admission_Type]]))="emerg"),"Emergency",IF(LOWER(TRIM(tblEncounters5[[#This Row],[Admission_Type]]))="planned","Planned","Review"))</f>
        <v>Emergency</v>
      </c>
      <c r="Y50" t="str">
        <f ca="1">IF(tblEncounters5[[#This Row],[Discharge_Date]]="","Missing Discharge",IF(tblEncounters5[[#This Row],[Discharge_Date]]&lt;tblEncounters5[[#This Row],[Admission_Date]],"Invalid Date","OK"))</f>
        <v>OK</v>
      </c>
      <c r="Z50">
        <f ca="1">IF(OR(tblEncounters5[[#This Row],[Admission_Date]]="",tblEncounters5[[#This Row],[Discharge_Date]]=""),"",tblEncounters5[[#This Row],[Discharge_Date]]-tblEncounters5[[#This Row],[Admission_Date]])</f>
        <v>8</v>
      </c>
      <c r="AA50" t="str">
        <f ca="1">IF(tblEncounters5[[#This Row],[Calculated_LOS]]="","Missing",IF(tblEncounters5[[#This Row],[Calculated_LOS]]=tblEncounters5[[#This Row],[LOS_Days]],"Match","Mismatch"))</f>
        <v>Match</v>
      </c>
      <c r="AB50" t="str">
        <f>IF(COUNTIF(tblEncounters[Hospital_ID],tblEncounters5[[#This Row],[Hospital_ID]])=1,"Valid","Invalid")</f>
        <v>Invalid</v>
      </c>
      <c r="AC50"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No Issue</v>
      </c>
    </row>
    <row r="51" spans="1:29">
      <c r="A51" t="s">
        <v>97</v>
      </c>
      <c r="B51" t="s">
        <v>147</v>
      </c>
      <c r="C51" t="s">
        <v>15</v>
      </c>
      <c r="D51">
        <v>41</v>
      </c>
      <c r="E51" t="str">
        <f>IF(tblEncounters5[[#This Row],[Age]]&lt;30,"18-29",IF(tblEncounters5[[#This Row],[Age]]&lt;45,"30-44",IF(tblEncounters5[[#This Row],[Age]]&lt;60,"45-59",IF(tblEncounters5[[#This Row],[Age]]&lt;75,"60-74","75+"))))</f>
        <v>30-44</v>
      </c>
      <c r="F51" t="s">
        <v>184</v>
      </c>
      <c r="G51" t="s">
        <v>187</v>
      </c>
      <c r="H51" t="s">
        <v>191</v>
      </c>
      <c r="I51" s="10">
        <v>46090</v>
      </c>
      <c r="J51" s="10">
        <f ca="1">tblEncounters5[[#This Row],[Admission_Date]]+RANDBETWEEN(1,12)</f>
        <v>46099</v>
      </c>
      <c r="K51">
        <f ca="1">tblEncounters5[[#This Row],[Discharge_Date]]-tblEncounters5[[#This Row],[Admission_Date]]</f>
        <v>9</v>
      </c>
      <c r="L51" s="10" t="s">
        <v>54</v>
      </c>
      <c r="M51" s="9" t="s">
        <v>197</v>
      </c>
      <c r="N51" t="s">
        <v>53</v>
      </c>
      <c r="O51" t="s">
        <v>53</v>
      </c>
      <c r="P51" t="s">
        <v>54</v>
      </c>
      <c r="Q51" t="str">
        <f>_xlfn.XLOOKUP(tblEncounters5[[#This Row],[Hospital_ID]],Table1[Hospital_ID],Table1[Hospital_Name],"Not Found")</f>
        <v>Europa Health Institute</v>
      </c>
      <c r="R51" t="str">
        <f>_xlfn.XLOOKUP(tblEncounters5[[#This Row],[Hospital_ID]],Table1[Hospital_ID],Table1[Country],"Not Found")</f>
        <v xml:space="preserve">Belgium </v>
      </c>
      <c r="S51" t="str">
        <f>_xlfn.XLOOKUP(tblEncounters5[[#This Row],[Hospital_ID]],Table1[Hospital_ID],Table1[FHIR_Enabled],"Not Found")</f>
        <v>Yes</v>
      </c>
      <c r="T51" t="str">
        <f ca="1">IF(OR(tblEncounters5[[#This Row],[Age]]="",tblEncounters5[[#This Row],[Age]]&lt;18,tblEncounters5[[#This Row],[Age]]&gt;100,tblEncounters5[[#This Row],[Department]]="",tblEncounters5[[#This Row],[Documentation_Complete]]="",tblEncounters5[[#This Row],[LOS_Days]]&lt;0),"Review","OK")</f>
        <v>OK</v>
      </c>
      <c r="U51" t="str">
        <f>IF(COUNTIF(tblEncounters5[[#All],[Encounter_ID]],tblEncounters5[[#This Row],[Encounter_ID]])&gt;1,"Duplicate","Unique")</f>
        <v>Duplicate</v>
      </c>
      <c r="V51" t="str">
        <f>PROPER(TRIM(tblEncounters5[[#This Row],[Department]]))</f>
        <v>Neurology</v>
      </c>
      <c r="W51" t="str">
        <f>IF(LOWER(TRIM(tblEncounters5[[#This Row],[Sex]]))="male","Male",IF(LOWER(TRIM(tblEncounters5[[#This Row],[Sex]]))="female","Female","Review"))</f>
        <v>Female</v>
      </c>
      <c r="X51" t="str">
        <f>IF(OR(LOWER(TRIM(tblEncounters5[[#This Row],[Admission_Type]]))="emergency",LOWER(TRIM(tblEncounters5[[#This Row],[Admission_Type]]))="emerg"),"Emergency",IF(LOWER(TRIM(tblEncounters5[[#This Row],[Admission_Type]]))="planned","Planned","Review"))</f>
        <v>Emergency</v>
      </c>
      <c r="Y51" t="str">
        <f ca="1">IF(tblEncounters5[[#This Row],[Discharge_Date]]="","Missing Discharge",IF(tblEncounters5[[#This Row],[Discharge_Date]]&lt;tblEncounters5[[#This Row],[Admission_Date]],"Invalid Date","OK"))</f>
        <v>OK</v>
      </c>
      <c r="Z51">
        <f ca="1">IF(OR(tblEncounters5[[#This Row],[Admission_Date]]="",tblEncounters5[[#This Row],[Discharge_Date]]=""),"",tblEncounters5[[#This Row],[Discharge_Date]]-tblEncounters5[[#This Row],[Admission_Date]])</f>
        <v>9</v>
      </c>
      <c r="AA51" t="str">
        <f ca="1">IF(tblEncounters5[[#This Row],[Calculated_LOS]]="","Missing",IF(tblEncounters5[[#This Row],[Calculated_LOS]]=tblEncounters5[[#This Row],[LOS_Days]],"Match","Mismatch"))</f>
        <v>Match</v>
      </c>
      <c r="AB51" t="str">
        <f>IF(COUNTIF(tblEncounters[Hospital_ID],tblEncounters5[[#This Row],[Hospital_ID]])=1,"Valid","Invalid")</f>
        <v>Invalid</v>
      </c>
      <c r="AC51" t="str">
        <f ca="1">IF(tblEncounters5[[#This Row],[Age]]="","Missing Age",IF(OR(tblEncounters5[[#This Row],[Age]]&lt;18,tblEncounters5[[#This Row],[Age]]&gt;100),"Invalid Age",IF(tblEncounters5[[#This Row],[Department]]="","Missing Department",IF(tblEncounters5[[#This Row],[Documentation_Complete]]="","Missing Documentation",IF(tblEncounters5[[#This Row],[LOS_Days]]&lt;0,"Invalid LOS",IF(tblEncounters5[[#This Row],[Duplicate_Encounter_Flag]]="Duplicate","Duplicate Encounter","No Issue"))))))</f>
        <v>Duplicate Encounter</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725D6-DC82-4E8B-AB2D-59A78A7C0531}">
  <sheetPr>
    <tabColor rgb="FF660033"/>
  </sheetPr>
  <dimension ref="A1:J21"/>
  <sheetViews>
    <sheetView tabSelected="1" workbookViewId="0">
      <selection activeCell="F13" sqref="F13"/>
    </sheetView>
  </sheetViews>
  <sheetFormatPr defaultRowHeight="14.4"/>
  <cols>
    <col min="1" max="1" width="33.21875" bestFit="1" customWidth="1"/>
    <col min="2" max="2" width="68.33203125" bestFit="1" customWidth="1"/>
    <col min="3" max="3" width="30" bestFit="1" customWidth="1"/>
    <col min="6" max="6" width="19.77734375" bestFit="1" customWidth="1"/>
    <col min="9" max="9" width="33.21875" bestFit="1" customWidth="1"/>
    <col min="10" max="10" width="10.6640625" bestFit="1" customWidth="1"/>
  </cols>
  <sheetData>
    <row r="1" spans="1:10">
      <c r="A1" s="24" t="s">
        <v>200</v>
      </c>
      <c r="B1" s="25" t="s">
        <v>201</v>
      </c>
      <c r="C1" s="26" t="s">
        <v>202</v>
      </c>
      <c r="E1" s="24" t="s">
        <v>200</v>
      </c>
      <c r="F1" s="25" t="s">
        <v>227</v>
      </c>
      <c r="G1" s="26" t="s">
        <v>202</v>
      </c>
      <c r="I1" s="30" t="s">
        <v>233</v>
      </c>
      <c r="J1" s="31" t="s">
        <v>202</v>
      </c>
    </row>
    <row r="2" spans="1:10">
      <c r="A2" s="22">
        <v>1</v>
      </c>
      <c r="B2" s="14" t="s">
        <v>199</v>
      </c>
      <c r="C2" s="23">
        <f>COUNTA(tblEncounters[Encounter_ID])</f>
        <v>50</v>
      </c>
      <c r="E2" s="22">
        <v>1</v>
      </c>
      <c r="F2" s="14" t="s">
        <v>228</v>
      </c>
      <c r="G2" s="23">
        <f>COUNTBLANK(tblEncounters5[[#All],[Age]])</f>
        <v>2</v>
      </c>
      <c r="I2" s="22" t="s">
        <v>199</v>
      </c>
      <c r="J2" s="23">
        <v>50</v>
      </c>
    </row>
    <row r="3" spans="1:10">
      <c r="A3" s="22">
        <v>2</v>
      </c>
      <c r="B3" s="14" t="s">
        <v>203</v>
      </c>
      <c r="C3" s="23">
        <f ca="1">AVERAGE(tblEncounters[LOS_Days])</f>
        <v>6.74</v>
      </c>
      <c r="E3" s="22">
        <v>2</v>
      </c>
      <c r="F3" s="14" t="s">
        <v>229</v>
      </c>
      <c r="G3" s="23">
        <f>COUNTBLANK(tblEncounters5[[#All],[Department]])</f>
        <v>2</v>
      </c>
      <c r="I3" s="22" t="s">
        <v>232</v>
      </c>
      <c r="J3" s="23">
        <f ca="1">COUNTIF(tblEncounters5[[#All],[DQ_Flag]],"Review")</f>
        <v>9</v>
      </c>
    </row>
    <row r="4" spans="1:10">
      <c r="A4" s="22">
        <v>3</v>
      </c>
      <c r="B4" s="14" t="s">
        <v>204</v>
      </c>
      <c r="C4" s="23">
        <f>COUNTIF(tblEncounters[Admission_Type],"Emergency")</f>
        <v>32</v>
      </c>
      <c r="E4" s="22">
        <v>3</v>
      </c>
      <c r="F4" s="21" t="s">
        <v>230</v>
      </c>
      <c r="G4" s="23">
        <f ca="1">COUNTBLANK(tblEncounters5[[#All],[Discharge_Date]])</f>
        <v>1</v>
      </c>
      <c r="I4" s="22" t="s">
        <v>235</v>
      </c>
      <c r="J4" s="23">
        <v>2</v>
      </c>
    </row>
    <row r="5" spans="1:10">
      <c r="A5" s="22">
        <v>4</v>
      </c>
      <c r="B5" s="14" t="s">
        <v>205</v>
      </c>
      <c r="C5" s="23">
        <f>COUNTIF(tblEncounters[Readmission_30D],"Yes")</f>
        <v>12</v>
      </c>
      <c r="E5" s="22">
        <v>4</v>
      </c>
      <c r="F5" s="14" t="s">
        <v>231</v>
      </c>
      <c r="G5" s="23">
        <f>COUNTIF(tblEncounters5[[#All],[Duplicate_Encounter_Flag]],"Duplicate")</f>
        <v>2</v>
      </c>
      <c r="I5" s="22" t="s">
        <v>228</v>
      </c>
      <c r="J5" s="23">
        <f>COUNTBLANK(tblEncounters5[[#All],[Age]])</f>
        <v>2</v>
      </c>
    </row>
    <row r="6" spans="1:10">
      <c r="A6" s="22">
        <v>5</v>
      </c>
      <c r="B6" s="14" t="s">
        <v>206</v>
      </c>
      <c r="C6" s="23">
        <f>COUNTIF(tblEncounters[Documentation_Complete],"No")</f>
        <v>3</v>
      </c>
      <c r="E6" s="27">
        <v>5</v>
      </c>
      <c r="F6" s="28" t="s">
        <v>232</v>
      </c>
      <c r="G6" s="29">
        <f ca="1">COUNTIF(tblEncounters5[[#All],[DQ_Flag]],"Review")</f>
        <v>9</v>
      </c>
      <c r="I6" s="22" t="s">
        <v>229</v>
      </c>
      <c r="J6" s="23">
        <f>COUNTBLANK(tblEncounters5[[#All],[Department]])</f>
        <v>2</v>
      </c>
    </row>
    <row r="7" spans="1:10">
      <c r="A7" s="27">
        <v>6</v>
      </c>
      <c r="B7" s="28" t="s">
        <v>207</v>
      </c>
      <c r="C7" s="29">
        <f>COUNTIF(tblEncounters[Duplicate_Test],"Yes")</f>
        <v>9</v>
      </c>
      <c r="I7" s="22" t="s">
        <v>234</v>
      </c>
      <c r="J7" s="23">
        <v>2</v>
      </c>
    </row>
    <row r="8" spans="1:10">
      <c r="A8" s="27">
        <v>7</v>
      </c>
      <c r="B8" t="s">
        <v>268</v>
      </c>
      <c r="C8" s="32">
        <f>COUNTIF(tblEncounters5[[#All],[Readmission_30D]],"Yes")/COUNTA(tblEncounters5[[#All],[Encounter_ID]])</f>
        <v>0.23529411764705882</v>
      </c>
      <c r="I8" s="27" t="s">
        <v>236</v>
      </c>
      <c r="J8" s="32">
        <f ca="1">COUNTIF(tblEncounters5[[#All],[DQ_Flag]],"OK")/COUNTA(tblEncounters5[[#All],[Encounter_ID]])</f>
        <v>0.80392156862745101</v>
      </c>
    </row>
    <row r="12" spans="1:10">
      <c r="A12" s="1" t="s">
        <v>200</v>
      </c>
      <c r="B12" s="1" t="s">
        <v>201</v>
      </c>
      <c r="C12" s="1" t="s">
        <v>202</v>
      </c>
    </row>
    <row r="13" spans="1:10">
      <c r="A13">
        <v>1</v>
      </c>
      <c r="B13" t="s">
        <v>269</v>
      </c>
      <c r="C13" s="41" t="s">
        <v>40</v>
      </c>
    </row>
    <row r="14" spans="1:10">
      <c r="A14">
        <v>2</v>
      </c>
      <c r="B14" t="s">
        <v>270</v>
      </c>
      <c r="C14" s="39" t="s">
        <v>187</v>
      </c>
    </row>
    <row r="15" spans="1:10">
      <c r="A15">
        <v>3</v>
      </c>
      <c r="B15" t="s">
        <v>271</v>
      </c>
      <c r="C15" s="39" t="s">
        <v>21</v>
      </c>
    </row>
    <row r="16" spans="1:10">
      <c r="A16">
        <v>4</v>
      </c>
      <c r="B16" t="s">
        <v>272</v>
      </c>
      <c r="C16" s="39" t="s">
        <v>25</v>
      </c>
    </row>
    <row r="17" spans="1:3">
      <c r="A17">
        <v>5</v>
      </c>
      <c r="B17" t="s">
        <v>273</v>
      </c>
      <c r="C17" s="4" t="str">
        <f>_xlfn.XLOOKUP(tblEncounters6[[#This Row],[Hospital_ID]],Table1[Hospital_ID],Table1[Hospital_Name],"Not Found")</f>
        <v>Marbel General Hospital</v>
      </c>
    </row>
    <row r="18" spans="1:3">
      <c r="A18">
        <v>6</v>
      </c>
      <c r="B18" t="s">
        <v>274</v>
      </c>
      <c r="C18" s="39" t="s">
        <v>53</v>
      </c>
    </row>
    <row r="19" spans="1:3">
      <c r="A19">
        <v>7</v>
      </c>
      <c r="B19" t="s">
        <v>275</v>
      </c>
      <c r="C19" s="39" t="s">
        <v>261</v>
      </c>
    </row>
    <row r="20" spans="1:3">
      <c r="A20">
        <v>8</v>
      </c>
      <c r="B20" t="s">
        <v>276</v>
      </c>
      <c r="C20" s="39" t="s">
        <v>54</v>
      </c>
    </row>
    <row r="21" spans="1:3">
      <c r="A21">
        <v>9</v>
      </c>
      <c r="B21" t="s">
        <v>277</v>
      </c>
      <c r="C21" s="39" t="s">
        <v>189</v>
      </c>
    </row>
  </sheetData>
  <pageMargins left="0.7" right="0.7" top="0.75" bottom="0.75" header="0.3" footer="0.3"/>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927C9-7BD3-4553-BDFA-F1E8D1E7CBF1}">
  <sheetPr>
    <tabColor rgb="FF660033"/>
  </sheetPr>
  <dimension ref="A1:E12"/>
  <sheetViews>
    <sheetView workbookViewId="0">
      <selection activeCell="H6" sqref="H6"/>
    </sheetView>
  </sheetViews>
  <sheetFormatPr defaultRowHeight="14.4"/>
  <cols>
    <col min="1" max="1" width="10.21875" customWidth="1"/>
    <col min="2" max="2" width="14.77734375" customWidth="1"/>
    <col min="3" max="3" width="19.88671875" bestFit="1" customWidth="1"/>
    <col min="4" max="4" width="15.44140625" customWidth="1"/>
    <col min="5" max="5" width="14.6640625" customWidth="1"/>
  </cols>
  <sheetData>
    <row r="1" spans="1:5">
      <c r="A1" s="35" t="s">
        <v>238</v>
      </c>
      <c r="B1" s="36" t="s">
        <v>68</v>
      </c>
      <c r="C1" s="36" t="s">
        <v>239</v>
      </c>
      <c r="D1" s="36" t="s">
        <v>240</v>
      </c>
      <c r="E1" s="36" t="s">
        <v>241</v>
      </c>
    </row>
    <row r="2" spans="1:5">
      <c r="A2" s="22" t="s">
        <v>242</v>
      </c>
      <c r="B2" s="33" t="s">
        <v>84</v>
      </c>
      <c r="C2" s="14" t="s">
        <v>229</v>
      </c>
      <c r="D2" s="14" t="s">
        <v>186</v>
      </c>
      <c r="E2" s="14" t="s">
        <v>53</v>
      </c>
    </row>
    <row r="3" spans="1:5">
      <c r="A3" s="22" t="s">
        <v>243</v>
      </c>
      <c r="B3" s="34" t="s">
        <v>87</v>
      </c>
      <c r="C3" s="14" t="s">
        <v>228</v>
      </c>
      <c r="D3" s="14">
        <v>87</v>
      </c>
      <c r="E3" s="14" t="s">
        <v>53</v>
      </c>
    </row>
    <row r="4" spans="1:5">
      <c r="A4" s="22" t="s">
        <v>244</v>
      </c>
      <c r="B4" s="33" t="s">
        <v>89</v>
      </c>
      <c r="C4" s="14" t="s">
        <v>253</v>
      </c>
      <c r="D4" s="14" t="s">
        <v>53</v>
      </c>
      <c r="E4" s="14" t="s">
        <v>53</v>
      </c>
    </row>
    <row r="5" spans="1:5">
      <c r="A5" s="22" t="s">
        <v>245</v>
      </c>
      <c r="B5" s="34" t="s">
        <v>91</v>
      </c>
      <c r="C5" s="14" t="s">
        <v>234</v>
      </c>
      <c r="D5" s="14">
        <v>3</v>
      </c>
      <c r="E5" s="14" t="s">
        <v>53</v>
      </c>
    </row>
    <row r="6" spans="1:5">
      <c r="A6" s="22" t="s">
        <v>246</v>
      </c>
      <c r="B6" s="33" t="s">
        <v>95</v>
      </c>
      <c r="C6" s="14" t="s">
        <v>228</v>
      </c>
      <c r="D6" s="14">
        <v>40</v>
      </c>
      <c r="E6" s="14" t="s">
        <v>53</v>
      </c>
    </row>
    <row r="7" spans="1:5">
      <c r="A7" s="22" t="s">
        <v>247</v>
      </c>
      <c r="B7" s="34" t="s">
        <v>97</v>
      </c>
      <c r="C7" s="14" t="s">
        <v>254</v>
      </c>
      <c r="D7" s="14" t="s">
        <v>97</v>
      </c>
      <c r="E7" s="14" t="s">
        <v>53</v>
      </c>
    </row>
    <row r="8" spans="1:5">
      <c r="A8" s="22" t="s">
        <v>248</v>
      </c>
      <c r="B8" s="33" t="s">
        <v>100</v>
      </c>
      <c r="C8" s="14" t="s">
        <v>253</v>
      </c>
      <c r="D8" s="14" t="s">
        <v>53</v>
      </c>
      <c r="E8" s="14" t="s">
        <v>53</v>
      </c>
    </row>
    <row r="9" spans="1:5">
      <c r="A9" s="22" t="s">
        <v>249</v>
      </c>
      <c r="B9" s="34" t="s">
        <v>102</v>
      </c>
      <c r="C9" s="14" t="s">
        <v>234</v>
      </c>
      <c r="D9" s="14">
        <v>7</v>
      </c>
      <c r="E9" s="14" t="s">
        <v>53</v>
      </c>
    </row>
    <row r="10" spans="1:5">
      <c r="A10" s="22" t="s">
        <v>250</v>
      </c>
      <c r="B10" s="33" t="s">
        <v>124</v>
      </c>
      <c r="C10" s="14" t="s">
        <v>255</v>
      </c>
      <c r="D10" s="14">
        <v>24</v>
      </c>
      <c r="E10" s="14" t="s">
        <v>53</v>
      </c>
    </row>
    <row r="11" spans="1:5">
      <c r="A11" s="22" t="s">
        <v>251</v>
      </c>
      <c r="B11" s="34" t="s">
        <v>128</v>
      </c>
      <c r="C11" s="14" t="s">
        <v>255</v>
      </c>
      <c r="D11" s="14">
        <v>34</v>
      </c>
      <c r="E11" s="14" t="s">
        <v>53</v>
      </c>
    </row>
    <row r="12" spans="1:5">
      <c r="A12" s="27" t="s">
        <v>252</v>
      </c>
      <c r="B12" s="37" t="s">
        <v>97</v>
      </c>
      <c r="C12" s="28" t="s">
        <v>254</v>
      </c>
      <c r="D12" s="28" t="s">
        <v>97</v>
      </c>
      <c r="E12" s="14" t="s">
        <v>53</v>
      </c>
    </row>
  </sheetData>
  <phoneticPr fontId="5"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F2AEA-9AFD-4BA5-A7AE-BAA54CAC5334}">
  <sheetPr>
    <tabColor rgb="FF660033"/>
  </sheetPr>
  <dimension ref="A3:B14"/>
  <sheetViews>
    <sheetView topLeftCell="A2" workbookViewId="0">
      <selection activeCell="B6" sqref="B6"/>
    </sheetView>
  </sheetViews>
  <sheetFormatPr defaultRowHeight="14.4"/>
  <cols>
    <col min="1" max="1" width="30" bestFit="1" customWidth="1"/>
    <col min="2" max="2" width="19.21875" bestFit="1" customWidth="1"/>
  </cols>
  <sheetData>
    <row r="3" spans="1:2">
      <c r="A3" s="1" t="s">
        <v>256</v>
      </c>
      <c r="B3" s="1" t="s">
        <v>258</v>
      </c>
    </row>
    <row r="4" spans="1:2">
      <c r="A4" s="67" t="s">
        <v>23</v>
      </c>
      <c r="B4" s="53">
        <v>5</v>
      </c>
    </row>
    <row r="5" spans="1:2">
      <c r="A5" s="67" t="s">
        <v>39</v>
      </c>
      <c r="B5" s="53">
        <v>5</v>
      </c>
    </row>
    <row r="6" spans="1:2">
      <c r="A6" s="67" t="s">
        <v>26</v>
      </c>
      <c r="B6" s="53">
        <v>5</v>
      </c>
    </row>
    <row r="7" spans="1:2">
      <c r="A7" s="67" t="s">
        <v>24</v>
      </c>
      <c r="B7" s="53">
        <v>5</v>
      </c>
    </row>
    <row r="8" spans="1:2">
      <c r="A8" s="67" t="s">
        <v>37</v>
      </c>
      <c r="B8" s="53">
        <v>5</v>
      </c>
    </row>
    <row r="9" spans="1:2">
      <c r="A9" s="67" t="s">
        <v>36</v>
      </c>
      <c r="B9" s="53">
        <v>5</v>
      </c>
    </row>
    <row r="10" spans="1:2">
      <c r="A10" s="67" t="s">
        <v>40</v>
      </c>
      <c r="B10" s="53">
        <v>5</v>
      </c>
    </row>
    <row r="11" spans="1:2">
      <c r="A11" s="67" t="s">
        <v>21</v>
      </c>
      <c r="B11" s="53">
        <v>5</v>
      </c>
    </row>
    <row r="12" spans="1:2">
      <c r="A12" s="67" t="s">
        <v>25</v>
      </c>
      <c r="B12" s="53">
        <v>5</v>
      </c>
    </row>
    <row r="13" spans="1:2">
      <c r="A13" s="67" t="s">
        <v>38</v>
      </c>
      <c r="B13" s="53">
        <v>5</v>
      </c>
    </row>
    <row r="14" spans="1:2">
      <c r="A14" s="67" t="s">
        <v>257</v>
      </c>
      <c r="B14" s="53">
        <v>50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F4347-6438-4BB6-A3A7-8E498D49A139}">
  <sheetPr>
    <tabColor rgb="FF660033"/>
  </sheetPr>
  <dimension ref="A3:B14"/>
  <sheetViews>
    <sheetView workbookViewId="0">
      <selection activeCell="N17" sqref="N17"/>
    </sheetView>
  </sheetViews>
  <sheetFormatPr defaultRowHeight="14.4"/>
  <cols>
    <col min="1" max="1" width="30" bestFit="1" customWidth="1"/>
    <col min="2" max="2" width="13.21875" bestFit="1" customWidth="1"/>
  </cols>
  <sheetData>
    <row r="3" spans="1:2">
      <c r="A3" s="13" t="s">
        <v>256</v>
      </c>
      <c r="B3" s="13" t="s">
        <v>265</v>
      </c>
    </row>
    <row r="4" spans="1:2">
      <c r="A4" s="39" t="s">
        <v>40</v>
      </c>
      <c r="B4">
        <v>6.6</v>
      </c>
    </row>
    <row r="5" spans="1:2">
      <c r="A5" s="39" t="s">
        <v>38</v>
      </c>
      <c r="B5">
        <v>6.4</v>
      </c>
    </row>
    <row r="6" spans="1:2">
      <c r="A6" s="39" t="s">
        <v>26</v>
      </c>
      <c r="B6">
        <v>6.4</v>
      </c>
    </row>
    <row r="7" spans="1:2">
      <c r="A7" s="39" t="s">
        <v>37</v>
      </c>
      <c r="B7">
        <v>6</v>
      </c>
    </row>
    <row r="8" spans="1:2">
      <c r="A8" s="39" t="s">
        <v>21</v>
      </c>
      <c r="B8">
        <v>5.4</v>
      </c>
    </row>
    <row r="9" spans="1:2">
      <c r="A9" s="39" t="s">
        <v>25</v>
      </c>
      <c r="B9">
        <v>5.2</v>
      </c>
    </row>
    <row r="10" spans="1:2">
      <c r="A10" s="39" t="s">
        <v>24</v>
      </c>
      <c r="B10">
        <v>4.8</v>
      </c>
    </row>
    <row r="11" spans="1:2">
      <c r="A11" s="39" t="s">
        <v>23</v>
      </c>
      <c r="B11">
        <v>4.4000000000000004</v>
      </c>
    </row>
    <row r="12" spans="1:2">
      <c r="A12" s="39" t="s">
        <v>39</v>
      </c>
      <c r="B12">
        <v>4.2</v>
      </c>
    </row>
    <row r="13" spans="1:2">
      <c r="A13" s="39" t="s">
        <v>36</v>
      </c>
      <c r="B13">
        <v>3.8</v>
      </c>
    </row>
    <row r="14" spans="1:2">
      <c r="A14" s="40" t="s">
        <v>257</v>
      </c>
      <c r="B14" s="13">
        <v>5.32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D13CE-E4AE-472F-915C-653CD21AC599}">
  <sheetPr>
    <tabColor rgb="FF660033"/>
  </sheetPr>
  <dimension ref="A3:B10"/>
  <sheetViews>
    <sheetView workbookViewId="0">
      <selection activeCell="J30" sqref="J30"/>
    </sheetView>
  </sheetViews>
  <sheetFormatPr defaultRowHeight="14.4"/>
  <cols>
    <col min="1" max="1" width="15.21875" bestFit="1" customWidth="1"/>
    <col min="2" max="2" width="18.109375" bestFit="1" customWidth="1"/>
  </cols>
  <sheetData>
    <row r="3" spans="1:2">
      <c r="A3" s="38" t="s">
        <v>256</v>
      </c>
      <c r="B3" t="s">
        <v>259</v>
      </c>
    </row>
    <row r="4" spans="1:2">
      <c r="A4" s="39" t="s">
        <v>187</v>
      </c>
      <c r="B4">
        <v>6.625</v>
      </c>
    </row>
    <row r="5" spans="1:2">
      <c r="A5" s="39" t="s">
        <v>190</v>
      </c>
      <c r="B5">
        <v>6.5</v>
      </c>
    </row>
    <row r="6" spans="1:2">
      <c r="A6" s="39" t="s">
        <v>186</v>
      </c>
      <c r="B6">
        <v>5.2222222222222223</v>
      </c>
    </row>
    <row r="7" spans="1:2">
      <c r="A7" s="39" t="s">
        <v>185</v>
      </c>
      <c r="B7">
        <v>5</v>
      </c>
    </row>
    <row r="8" spans="1:2">
      <c r="A8" s="39" t="s">
        <v>189</v>
      </c>
      <c r="B8">
        <v>4.5</v>
      </c>
    </row>
    <row r="9" spans="1:2">
      <c r="A9" s="39" t="s">
        <v>188</v>
      </c>
      <c r="B9">
        <v>4.125</v>
      </c>
    </row>
    <row r="10" spans="1:2">
      <c r="A10" s="39" t="s">
        <v>257</v>
      </c>
      <c r="B10">
        <v>5.32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F066A-46BF-46D8-9BCF-037896A5AEBF}">
  <sheetPr>
    <tabColor rgb="FF660033"/>
  </sheetPr>
  <dimension ref="A3:C6"/>
  <sheetViews>
    <sheetView workbookViewId="0">
      <selection activeCell="C12" sqref="C12"/>
    </sheetView>
  </sheetViews>
  <sheetFormatPr defaultRowHeight="14.4"/>
  <cols>
    <col min="1" max="1" width="12.44140625" bestFit="1" customWidth="1"/>
    <col min="2" max="2" width="19.21875" bestFit="1" customWidth="1"/>
    <col min="3" max="3" width="18.109375" bestFit="1" customWidth="1"/>
  </cols>
  <sheetData>
    <row r="3" spans="1:3">
      <c r="A3" s="38" t="s">
        <v>256</v>
      </c>
      <c r="B3" t="s">
        <v>258</v>
      </c>
      <c r="C3" t="s">
        <v>259</v>
      </c>
    </row>
    <row r="4" spans="1:3">
      <c r="A4" s="39" t="s">
        <v>191</v>
      </c>
      <c r="B4">
        <v>32</v>
      </c>
      <c r="C4">
        <v>-1434</v>
      </c>
    </row>
    <row r="5" spans="1:3">
      <c r="A5" s="39" t="s">
        <v>192</v>
      </c>
      <c r="B5">
        <v>18</v>
      </c>
      <c r="C5">
        <v>5.4444444444444446</v>
      </c>
    </row>
    <row r="6" spans="1:3">
      <c r="A6" s="39" t="s">
        <v>257</v>
      </c>
      <c r="B6">
        <v>50</v>
      </c>
      <c r="C6">
        <v>-915.8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A5BE6-733C-4AFB-9C56-304C100E2D5A}">
  <sheetPr>
    <tabColor rgb="FF660033"/>
  </sheetPr>
  <dimension ref="A3:D15"/>
  <sheetViews>
    <sheetView workbookViewId="0">
      <selection activeCell="B19" sqref="B19"/>
    </sheetView>
  </sheetViews>
  <sheetFormatPr defaultRowHeight="14.4"/>
  <cols>
    <col min="1" max="1" width="30" bestFit="1" customWidth="1"/>
    <col min="2" max="2" width="15.5546875" bestFit="1" customWidth="1"/>
    <col min="3" max="3" width="3.88671875" bestFit="1" customWidth="1"/>
    <col min="4" max="4" width="10.5546875" bestFit="1" customWidth="1"/>
  </cols>
  <sheetData>
    <row r="3" spans="1:4">
      <c r="A3" s="38" t="s">
        <v>258</v>
      </c>
      <c r="B3" s="38" t="s">
        <v>267</v>
      </c>
    </row>
    <row r="4" spans="1:4">
      <c r="A4" s="38" t="s">
        <v>256</v>
      </c>
      <c r="B4" t="s">
        <v>54</v>
      </c>
      <c r="C4" t="s">
        <v>53</v>
      </c>
      <c r="D4" t="s">
        <v>257</v>
      </c>
    </row>
    <row r="5" spans="1:4">
      <c r="A5" s="39" t="s">
        <v>23</v>
      </c>
      <c r="B5">
        <v>5</v>
      </c>
      <c r="D5">
        <v>5</v>
      </c>
    </row>
    <row r="6" spans="1:4">
      <c r="A6" s="39" t="s">
        <v>39</v>
      </c>
      <c r="B6">
        <v>4</v>
      </c>
      <c r="C6">
        <v>1</v>
      </c>
      <c r="D6">
        <v>5</v>
      </c>
    </row>
    <row r="7" spans="1:4">
      <c r="A7" s="39" t="s">
        <v>26</v>
      </c>
      <c r="B7">
        <v>5</v>
      </c>
      <c r="C7">
        <v>1</v>
      </c>
      <c r="D7">
        <v>6</v>
      </c>
    </row>
    <row r="8" spans="1:4">
      <c r="A8" s="39" t="s">
        <v>24</v>
      </c>
      <c r="B8">
        <v>2</v>
      </c>
      <c r="C8">
        <v>3</v>
      </c>
      <c r="D8">
        <v>5</v>
      </c>
    </row>
    <row r="9" spans="1:4">
      <c r="A9" s="39" t="s">
        <v>37</v>
      </c>
      <c r="B9">
        <v>2</v>
      </c>
      <c r="C9">
        <v>3</v>
      </c>
      <c r="D9">
        <v>5</v>
      </c>
    </row>
    <row r="10" spans="1:4">
      <c r="A10" s="39" t="s">
        <v>36</v>
      </c>
      <c r="B10">
        <v>5</v>
      </c>
      <c r="D10">
        <v>5</v>
      </c>
    </row>
    <row r="11" spans="1:4">
      <c r="A11" s="39" t="s">
        <v>40</v>
      </c>
      <c r="B11">
        <v>4</v>
      </c>
      <c r="D11">
        <v>4</v>
      </c>
    </row>
    <row r="12" spans="1:4">
      <c r="A12" s="39" t="s">
        <v>21</v>
      </c>
      <c r="B12">
        <v>1</v>
      </c>
      <c r="C12">
        <v>4</v>
      </c>
      <c r="D12">
        <v>5</v>
      </c>
    </row>
    <row r="13" spans="1:4">
      <c r="A13" s="39" t="s">
        <v>25</v>
      </c>
      <c r="B13">
        <v>5</v>
      </c>
      <c r="D13">
        <v>5</v>
      </c>
    </row>
    <row r="14" spans="1:4">
      <c r="A14" s="39" t="s">
        <v>38</v>
      </c>
      <c r="B14">
        <v>5</v>
      </c>
      <c r="D14">
        <v>5</v>
      </c>
    </row>
    <row r="15" spans="1:4">
      <c r="A15" s="39" t="s">
        <v>257</v>
      </c>
      <c r="B15">
        <v>38</v>
      </c>
      <c r="C15">
        <v>12</v>
      </c>
      <c r="D15">
        <v>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8E851-1595-4F20-9D61-49F4A29CD3C6}">
  <sheetPr>
    <tabColor rgb="FF660033"/>
  </sheetPr>
  <dimension ref="A3:E15"/>
  <sheetViews>
    <sheetView workbookViewId="0">
      <selection activeCell="H5" sqref="H5"/>
    </sheetView>
  </sheetViews>
  <sheetFormatPr defaultRowHeight="14.4"/>
  <cols>
    <col min="1" max="1" width="30" bestFit="1" customWidth="1"/>
    <col min="2" max="2" width="15.5546875" bestFit="1" customWidth="1"/>
    <col min="3" max="3" width="3.88671875" bestFit="1" customWidth="1"/>
    <col min="4" max="4" width="7" bestFit="1" customWidth="1"/>
    <col min="5" max="5" width="10.5546875" bestFit="1" customWidth="1"/>
  </cols>
  <sheetData>
    <row r="3" spans="1:5">
      <c r="A3" s="38" t="s">
        <v>258</v>
      </c>
      <c r="B3" s="38" t="s">
        <v>267</v>
      </c>
    </row>
    <row r="4" spans="1:5">
      <c r="A4" s="38" t="s">
        <v>256</v>
      </c>
      <c r="B4" t="s">
        <v>54</v>
      </c>
      <c r="C4" t="s">
        <v>53</v>
      </c>
      <c r="D4" t="s">
        <v>264</v>
      </c>
      <c r="E4" t="s">
        <v>257</v>
      </c>
    </row>
    <row r="5" spans="1:5">
      <c r="A5" s="39" t="s">
        <v>23</v>
      </c>
      <c r="C5">
        <v>5</v>
      </c>
      <c r="E5">
        <v>5</v>
      </c>
    </row>
    <row r="6" spans="1:5">
      <c r="A6" s="39" t="s">
        <v>39</v>
      </c>
      <c r="C6">
        <v>5</v>
      </c>
      <c r="E6">
        <v>5</v>
      </c>
    </row>
    <row r="7" spans="1:5">
      <c r="A7" s="39" t="s">
        <v>26</v>
      </c>
      <c r="C7">
        <v>6</v>
      </c>
      <c r="E7">
        <v>6</v>
      </c>
    </row>
    <row r="8" spans="1:5">
      <c r="A8" s="39" t="s">
        <v>24</v>
      </c>
      <c r="C8">
        <v>5</v>
      </c>
      <c r="E8">
        <v>5</v>
      </c>
    </row>
    <row r="9" spans="1:5">
      <c r="A9" s="39" t="s">
        <v>37</v>
      </c>
      <c r="C9">
        <v>4</v>
      </c>
      <c r="D9">
        <v>1</v>
      </c>
      <c r="E9">
        <v>5</v>
      </c>
    </row>
    <row r="10" spans="1:5">
      <c r="A10" s="39" t="s">
        <v>36</v>
      </c>
      <c r="C10">
        <v>5</v>
      </c>
      <c r="E10">
        <v>5</v>
      </c>
    </row>
    <row r="11" spans="1:5">
      <c r="A11" s="39" t="s">
        <v>40</v>
      </c>
      <c r="B11">
        <v>1</v>
      </c>
      <c r="C11">
        <v>3</v>
      </c>
      <c r="E11">
        <v>4</v>
      </c>
    </row>
    <row r="12" spans="1:5">
      <c r="A12" s="39" t="s">
        <v>21</v>
      </c>
      <c r="C12">
        <v>5</v>
      </c>
      <c r="E12">
        <v>5</v>
      </c>
    </row>
    <row r="13" spans="1:5">
      <c r="A13" s="39" t="s">
        <v>25</v>
      </c>
      <c r="B13">
        <v>2</v>
      </c>
      <c r="C13">
        <v>3</v>
      </c>
      <c r="E13">
        <v>5</v>
      </c>
    </row>
    <row r="14" spans="1:5">
      <c r="A14" s="39" t="s">
        <v>38</v>
      </c>
      <c r="C14">
        <v>4</v>
      </c>
      <c r="D14">
        <v>1</v>
      </c>
      <c r="E14">
        <v>5</v>
      </c>
    </row>
    <row r="15" spans="1:5">
      <c r="A15" s="39" t="s">
        <v>257</v>
      </c>
      <c r="B15">
        <v>3</v>
      </c>
      <c r="C15">
        <v>45</v>
      </c>
      <c r="D15">
        <v>2</v>
      </c>
      <c r="E15">
        <v>50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E256D-F9C1-4AAB-B9A9-64DDF23956F7}">
  <sheetPr>
    <tabColor rgb="FF660033"/>
  </sheetPr>
  <dimension ref="A3:D8"/>
  <sheetViews>
    <sheetView workbookViewId="0">
      <selection activeCell="B9" sqref="B9"/>
    </sheetView>
  </sheetViews>
  <sheetFormatPr defaultRowHeight="14.4"/>
  <cols>
    <col min="1" max="1" width="19.21875" bestFit="1" customWidth="1"/>
    <col min="2" max="2" width="15.5546875" bestFit="1" customWidth="1"/>
    <col min="3" max="3" width="3.88671875" bestFit="1" customWidth="1"/>
    <col min="4" max="4" width="10.5546875" bestFit="1" customWidth="1"/>
  </cols>
  <sheetData>
    <row r="3" spans="1:4">
      <c r="A3" s="38" t="s">
        <v>258</v>
      </c>
      <c r="B3" s="38" t="s">
        <v>267</v>
      </c>
    </row>
    <row r="4" spans="1:4">
      <c r="A4" s="38" t="s">
        <v>256</v>
      </c>
      <c r="B4" t="s">
        <v>54</v>
      </c>
      <c r="C4" t="s">
        <v>53</v>
      </c>
      <c r="D4" t="s">
        <v>257</v>
      </c>
    </row>
    <row r="5" spans="1:4">
      <c r="A5" s="39" t="s">
        <v>54</v>
      </c>
      <c r="B5">
        <v>4</v>
      </c>
      <c r="D5">
        <v>4</v>
      </c>
    </row>
    <row r="6" spans="1:4">
      <c r="A6" s="39" t="s">
        <v>52</v>
      </c>
      <c r="B6">
        <v>11</v>
      </c>
      <c r="C6">
        <v>4</v>
      </c>
      <c r="D6">
        <v>15</v>
      </c>
    </row>
    <row r="7" spans="1:4">
      <c r="A7" s="39" t="s">
        <v>53</v>
      </c>
      <c r="B7">
        <v>25</v>
      </c>
      <c r="C7">
        <v>6</v>
      </c>
      <c r="D7">
        <v>31</v>
      </c>
    </row>
    <row r="8" spans="1:4">
      <c r="A8" s="39" t="s">
        <v>257</v>
      </c>
      <c r="B8">
        <v>40</v>
      </c>
      <c r="C8">
        <v>10</v>
      </c>
      <c r="D8">
        <v>50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4E8D8-7CF4-484A-B3E1-0F096EC74CBF}">
  <sheetPr>
    <tabColor rgb="FF660033"/>
  </sheetPr>
  <dimension ref="A3:C9"/>
  <sheetViews>
    <sheetView workbookViewId="0">
      <selection activeCell="H21" sqref="H21"/>
    </sheetView>
  </sheetViews>
  <sheetFormatPr defaultRowHeight="14.4"/>
  <cols>
    <col min="1" max="1" width="12.44140625" bestFit="1" customWidth="1"/>
    <col min="2" max="2" width="19.21875" bestFit="1" customWidth="1"/>
    <col min="3" max="3" width="18.109375" bestFit="1" customWidth="1"/>
  </cols>
  <sheetData>
    <row r="3" spans="1:3">
      <c r="A3" s="38" t="s">
        <v>256</v>
      </c>
      <c r="B3" t="s">
        <v>258</v>
      </c>
      <c r="C3" t="s">
        <v>259</v>
      </c>
    </row>
    <row r="4" spans="1:3">
      <c r="A4" s="39" t="s">
        <v>261</v>
      </c>
      <c r="B4">
        <v>13</v>
      </c>
      <c r="C4">
        <v>6.6923076923076925</v>
      </c>
    </row>
    <row r="5" spans="1:3">
      <c r="A5" s="39" t="s">
        <v>263</v>
      </c>
      <c r="B5">
        <v>9</v>
      </c>
      <c r="C5">
        <v>6.1111111111111107</v>
      </c>
    </row>
    <row r="6" spans="1:3">
      <c r="A6" s="39" t="s">
        <v>260</v>
      </c>
      <c r="B6">
        <v>8</v>
      </c>
      <c r="C6">
        <v>5.125</v>
      </c>
    </row>
    <row r="7" spans="1:3">
      <c r="A7" s="39" t="s">
        <v>262</v>
      </c>
      <c r="B7">
        <v>8</v>
      </c>
      <c r="C7">
        <v>5.125</v>
      </c>
    </row>
    <row r="8" spans="1:3">
      <c r="A8" s="39" t="s">
        <v>266</v>
      </c>
      <c r="B8">
        <v>12</v>
      </c>
      <c r="C8">
        <v>-3834.5</v>
      </c>
    </row>
    <row r="9" spans="1:3">
      <c r="A9" s="39" t="s">
        <v>257</v>
      </c>
      <c r="B9">
        <v>50</v>
      </c>
      <c r="C9">
        <v>-915.8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00DEA-2B4B-4298-89AE-9536429A5590}">
  <sheetPr>
    <tabColor rgb="FF660033"/>
  </sheetPr>
  <dimension ref="A3:D16"/>
  <sheetViews>
    <sheetView workbookViewId="0">
      <selection activeCell="F10" sqref="F10"/>
    </sheetView>
  </sheetViews>
  <sheetFormatPr defaultRowHeight="14.4"/>
  <cols>
    <col min="1" max="1" width="19.21875" bestFit="1" customWidth="1"/>
    <col min="2" max="2" width="15.5546875" bestFit="1" customWidth="1"/>
    <col min="3" max="3" width="3.88671875" bestFit="1" customWidth="1"/>
    <col min="4" max="4" width="10.5546875" bestFit="1" customWidth="1"/>
  </cols>
  <sheetData>
    <row r="3" spans="1:4">
      <c r="A3" s="38" t="s">
        <v>258</v>
      </c>
      <c r="B3" s="38" t="s">
        <v>267</v>
      </c>
    </row>
    <row r="4" spans="1:4">
      <c r="A4" s="38" t="s">
        <v>256</v>
      </c>
      <c r="B4" t="s">
        <v>54</v>
      </c>
      <c r="C4" t="s">
        <v>53</v>
      </c>
      <c r="D4" t="s">
        <v>257</v>
      </c>
    </row>
    <row r="5" spans="1:4">
      <c r="A5" s="39" t="s">
        <v>214</v>
      </c>
      <c r="C5">
        <v>1</v>
      </c>
      <c r="D5">
        <v>1</v>
      </c>
    </row>
    <row r="6" spans="1:4">
      <c r="A6" s="39" t="s">
        <v>186</v>
      </c>
      <c r="B6">
        <v>3</v>
      </c>
      <c r="C6">
        <v>3</v>
      </c>
      <c r="D6">
        <v>6</v>
      </c>
    </row>
    <row r="7" spans="1:4">
      <c r="A7" s="39" t="s">
        <v>213</v>
      </c>
      <c r="B7">
        <v>1</v>
      </c>
      <c r="D7">
        <v>1</v>
      </c>
    </row>
    <row r="8" spans="1:4">
      <c r="A8" s="39" t="s">
        <v>219</v>
      </c>
      <c r="C8">
        <v>1</v>
      </c>
      <c r="D8">
        <v>1</v>
      </c>
    </row>
    <row r="9" spans="1:4">
      <c r="A9" s="39" t="s">
        <v>211</v>
      </c>
      <c r="B9">
        <v>1</v>
      </c>
      <c r="D9">
        <v>1</v>
      </c>
    </row>
    <row r="10" spans="1:4">
      <c r="A10" s="39" t="s">
        <v>185</v>
      </c>
      <c r="B10">
        <v>2</v>
      </c>
      <c r="C10">
        <v>4</v>
      </c>
      <c r="D10">
        <v>6</v>
      </c>
    </row>
    <row r="11" spans="1:4">
      <c r="A11" s="39" t="s">
        <v>190</v>
      </c>
      <c r="B11">
        <v>3</v>
      </c>
      <c r="C11">
        <v>4</v>
      </c>
      <c r="D11">
        <v>7</v>
      </c>
    </row>
    <row r="12" spans="1:4">
      <c r="A12" s="39" t="s">
        <v>218</v>
      </c>
      <c r="B12">
        <v>7</v>
      </c>
      <c r="C12">
        <v>2</v>
      </c>
      <c r="D12">
        <v>9</v>
      </c>
    </row>
    <row r="13" spans="1:4">
      <c r="A13" s="39" t="s">
        <v>188</v>
      </c>
      <c r="B13">
        <v>6</v>
      </c>
      <c r="C13">
        <v>2</v>
      </c>
      <c r="D13">
        <v>8</v>
      </c>
    </row>
    <row r="14" spans="1:4">
      <c r="A14" s="39" t="s">
        <v>189</v>
      </c>
      <c r="B14">
        <v>3</v>
      </c>
      <c r="C14">
        <v>5</v>
      </c>
      <c r="D14">
        <v>8</v>
      </c>
    </row>
    <row r="15" spans="1:4">
      <c r="A15" s="39" t="s">
        <v>264</v>
      </c>
      <c r="B15">
        <v>2</v>
      </c>
      <c r="D15">
        <v>2</v>
      </c>
    </row>
    <row r="16" spans="1:4">
      <c r="A16" s="39" t="s">
        <v>257</v>
      </c>
      <c r="B16">
        <v>28</v>
      </c>
      <c r="C16">
        <v>22</v>
      </c>
      <c r="D16">
        <v>50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20F87-1DC7-4680-8944-6EE04579B3EE}">
  <sheetPr>
    <tabColor rgb="FF660033"/>
  </sheetPr>
  <dimension ref="A1:R48"/>
  <sheetViews>
    <sheetView topLeftCell="A20" zoomScale="80" zoomScaleNormal="80" workbookViewId="0">
      <selection activeCell="R7" sqref="R7:R8"/>
    </sheetView>
  </sheetViews>
  <sheetFormatPr defaultRowHeight="14.4"/>
  <cols>
    <col min="1" max="1" width="12.5546875" customWidth="1"/>
    <col min="2" max="2" width="30" bestFit="1" customWidth="1"/>
    <col min="3" max="3" width="23.77734375" customWidth="1"/>
    <col min="4" max="4" width="18.21875" customWidth="1"/>
    <col min="5" max="5" width="14.44140625" customWidth="1"/>
    <col min="6" max="6" width="18.21875" customWidth="1"/>
    <col min="7" max="7" width="13.21875" customWidth="1"/>
    <col min="8" max="8" width="14.6640625" customWidth="1"/>
    <col min="9" max="9" width="19.21875" customWidth="1"/>
    <col min="10" max="10" width="11.88671875" customWidth="1"/>
    <col min="11" max="11" width="12.44140625" customWidth="1"/>
    <col min="12" max="12" width="15.88671875" customWidth="1"/>
    <col min="13" max="13" width="13.77734375" customWidth="1"/>
    <col min="14" max="14" width="13.44140625" customWidth="1"/>
    <col min="15" max="15" width="15" customWidth="1"/>
    <col min="16" max="16" width="23.77734375" customWidth="1"/>
    <col min="17" max="17" width="17.33203125" bestFit="1" customWidth="1"/>
    <col min="18" max="18" width="17.6640625" bestFit="1" customWidth="1"/>
  </cols>
  <sheetData>
    <row r="1" spans="1:18">
      <c r="A1" s="1" t="s">
        <v>0</v>
      </c>
      <c r="B1" s="1" t="s">
        <v>1</v>
      </c>
      <c r="C1" s="1" t="s">
        <v>2</v>
      </c>
      <c r="D1" s="1" t="s">
        <v>51</v>
      </c>
      <c r="E1" s="1" t="s">
        <v>6</v>
      </c>
      <c r="F1" s="1" t="s">
        <v>278</v>
      </c>
      <c r="G1" s="1" t="s">
        <v>279</v>
      </c>
      <c r="H1" s="1" t="s">
        <v>9</v>
      </c>
      <c r="I1" s="1" t="s">
        <v>10</v>
      </c>
      <c r="J1" s="1" t="s">
        <v>280</v>
      </c>
      <c r="K1" s="1" t="s">
        <v>281</v>
      </c>
      <c r="L1" s="1" t="s">
        <v>282</v>
      </c>
      <c r="M1" s="1" t="s">
        <v>283</v>
      </c>
      <c r="N1" s="1" t="s">
        <v>284</v>
      </c>
      <c r="O1" s="1" t="s">
        <v>285</v>
      </c>
      <c r="P1" s="1" t="s">
        <v>286</v>
      </c>
      <c r="Q1" s="1" t="s">
        <v>287</v>
      </c>
      <c r="R1" s="1" t="s">
        <v>288</v>
      </c>
    </row>
    <row r="2" spans="1:18">
      <c r="A2" s="5" t="s">
        <v>16</v>
      </c>
      <c r="B2" t="str" cm="1">
        <f t="array" ref="B2">_xlfn.XLOOKUP(A2,Table1[[#All],[Hospital_ID]],Table1[[#All],[Hospital_Name]])</f>
        <v>Marbel General Hospital</v>
      </c>
      <c r="C2" t="str" cm="1">
        <f t="array" ref="C2">_xlfn.XLOOKUP(A2,Table1[[#All],[Hospital_ID]],Table1[[#All],[Country]])</f>
        <v>Sweden</v>
      </c>
      <c r="D2" cm="1">
        <f t="array" ref="D2">_xlfn.XLOOKUP(A2,Table1[[#All],[Hospital_ID]],Table1[[#All],[EHR_Adoption_Pct]])</f>
        <v>0.97</v>
      </c>
      <c r="E2" t="str" cm="1">
        <f t="array" ref="E2">_xlfn.XLOOKUP(A2,Table1[[#All],[Hospital_ID]],Table1[[#All],[FHIR_Enabled]])</f>
        <v>Yes</v>
      </c>
      <c r="F2" t="str" cm="1">
        <f t="array" ref="F2">_xlfn.XLOOKUP(A2,Table1[[#All],[Hospital_ID]],Table1[[#All],[SNOMED_CT]])</f>
        <v>Yes</v>
      </c>
      <c r="G2" t="str" cm="1">
        <f t="array" ref="G2">_xlfn.XLOOKUP(A2,Table1[[#All],[Hospital_ID]],Table1[[#All],[LOINC]])</f>
        <v>Yes</v>
      </c>
      <c r="H2" t="str" cm="1">
        <f t="array" ref="H2">_xlfn.XLOOKUP(A2,Table1[[#All],[Hospital_ID]],Table1[[#All],[Patient_Portal]])</f>
        <v>Yes</v>
      </c>
      <c r="I2" cm="1">
        <f t="array" ref="I2">_xlfn.XLOOKUP(A2,Table1[[#All],[Hospital_ID]],Table1[[#All],[Digital_Training_Pct]])</f>
        <v>0.93</v>
      </c>
      <c r="J2">
        <f t="shared" ref="J2:J11" si="0">D2*20</f>
        <v>19.399999999999999</v>
      </c>
      <c r="K2">
        <f t="shared" ref="K2:K11" si="1">IF(E2="Yes",20,IF(E2="Partial",10,0))</f>
        <v>20</v>
      </c>
      <c r="L2">
        <f t="shared" ref="L2:L11" si="2">IF(F2="Yes",15,IF(F2="Partial",7.5,0))</f>
        <v>15</v>
      </c>
      <c r="M2">
        <f t="shared" ref="M2:M11" si="3">IF(G2="Yes",10,IF(G2="Partial",5,0))</f>
        <v>10</v>
      </c>
      <c r="N2">
        <f t="shared" ref="N2:N11" si="4">IF(H2="Yes",10,IF(H2="Limited",5,0))</f>
        <v>10</v>
      </c>
      <c r="O2">
        <f t="shared" ref="O2:O11" si="5">I2*10</f>
        <v>9.3000000000000007</v>
      </c>
      <c r="P2">
        <f t="shared" ref="P2:P11" si="6">SUM(J2:O2)</f>
        <v>83.7</v>
      </c>
      <c r="Q2" t="str">
        <f t="shared" ref="Q2:Q11" si="7">IF(P2&gt;=80,"Advanced",IF(P2&gt;=60,"Developing",IF(P2&gt;=40,"Needs Improvement","Priority Intervention")))</f>
        <v>Advanced</v>
      </c>
      <c r="R2" t="str">
        <f t="shared" ref="R2:R11" si="8">IF(P2&lt;60,"Management Priority","Routine Monitoring")</f>
        <v>Routine Monitoring</v>
      </c>
    </row>
    <row r="3" spans="1:18">
      <c r="A3" s="4" t="s">
        <v>11</v>
      </c>
      <c r="B3" t="str" cm="1">
        <f t="array" ref="B3">_xlfn.XLOOKUP(A3,Table1[[#All],[Hospital_ID]],Table1[[#All],[Hospital_Name]])</f>
        <v>Nova Medical Centre</v>
      </c>
      <c r="C3" t="str" cm="1">
        <f t="array" ref="C3">_xlfn.XLOOKUP(A3,Table1[[#All],[Hospital_ID]],Table1[[#All],[Country]])</f>
        <v>Germany</v>
      </c>
      <c r="D3" cm="1">
        <f t="array" ref="D3">_xlfn.XLOOKUP(A3,Table1[[#All],[Hospital_ID]],Table1[[#All],[EHR_Adoption_Pct]])</f>
        <v>0.96</v>
      </c>
      <c r="E3" t="str" cm="1">
        <f t="array" ref="E3">_xlfn.XLOOKUP(A3,Table1[[#All],[Hospital_ID]],Table1[[#All],[FHIR_Enabled]])</f>
        <v>Yes</v>
      </c>
      <c r="F3" t="str" cm="1">
        <f t="array" ref="F3">_xlfn.XLOOKUP(A3,Table1[[#All],[Hospital_ID]],Table1[[#All],[SNOMED_CT]])</f>
        <v>Yes</v>
      </c>
      <c r="G3" t="str" cm="1">
        <f t="array" ref="G3">_xlfn.XLOOKUP(A3,Table1[[#All],[Hospital_ID]],Table1[[#All],[LOINC]])</f>
        <v>Yes</v>
      </c>
      <c r="H3" t="str" cm="1">
        <f t="array" ref="H3">_xlfn.XLOOKUP(A3,Table1[[#All],[Hospital_ID]],Table1[[#All],[Patient_Portal]])</f>
        <v>Yes</v>
      </c>
      <c r="I3" cm="1">
        <f t="array" ref="I3">_xlfn.XLOOKUP(A3,Table1[[#All],[Hospital_ID]],Table1[[#All],[Digital_Training_Pct]])</f>
        <v>0.91</v>
      </c>
      <c r="J3">
        <f t="shared" si="0"/>
        <v>19.2</v>
      </c>
      <c r="K3">
        <f t="shared" si="1"/>
        <v>20</v>
      </c>
      <c r="L3">
        <f t="shared" si="2"/>
        <v>15</v>
      </c>
      <c r="M3">
        <f t="shared" si="3"/>
        <v>10</v>
      </c>
      <c r="N3">
        <f t="shared" si="4"/>
        <v>10</v>
      </c>
      <c r="O3">
        <f t="shared" si="5"/>
        <v>9.1</v>
      </c>
      <c r="P3">
        <f t="shared" si="6"/>
        <v>83.3</v>
      </c>
      <c r="Q3" t="str">
        <f t="shared" si="7"/>
        <v>Advanced</v>
      </c>
      <c r="R3" t="str">
        <f t="shared" si="8"/>
        <v>Routine Monitoring</v>
      </c>
    </row>
    <row r="4" spans="1:18">
      <c r="A4" s="5" t="s">
        <v>12</v>
      </c>
      <c r="B4" t="str" cm="1">
        <f t="array" ref="B4">_xlfn.XLOOKUP(A4,Table1[[#All],[Hospital_ID]],Table1[[#All],[Hospital_Name]])</f>
        <v>Aurora Medical Centre</v>
      </c>
      <c r="C4" t="str" cm="1">
        <f t="array" ref="C4">_xlfn.XLOOKUP(A4,Table1[[#All],[Hospital_ID]],Table1[[#All],[Country]])</f>
        <v>Netherland</v>
      </c>
      <c r="D4" cm="1">
        <f t="array" ref="D4">_xlfn.XLOOKUP(A4,Table1[[#All],[Hospital_ID]],Table1[[#All],[EHR_Adoption_Pct]])</f>
        <v>0.93</v>
      </c>
      <c r="E4" t="str" cm="1">
        <f t="array" ref="E4">_xlfn.XLOOKUP(A4,Table1[[#All],[Hospital_ID]],Table1[[#All],[FHIR_Enabled]])</f>
        <v>Yes</v>
      </c>
      <c r="F4" t="str" cm="1">
        <f t="array" ref="F4">_xlfn.XLOOKUP(A4,Table1[[#All],[Hospital_ID]],Table1[[#All],[SNOMED_CT]])</f>
        <v>Yes</v>
      </c>
      <c r="G4" t="str" cm="1">
        <f t="array" ref="G4">_xlfn.XLOOKUP(A4,Table1[[#All],[Hospital_ID]],Table1[[#All],[LOINC]])</f>
        <v>Yes</v>
      </c>
      <c r="H4" t="str" cm="1">
        <f t="array" ref="H4">_xlfn.XLOOKUP(A4,Table1[[#All],[Hospital_ID]],Table1[[#All],[Patient_Portal]])</f>
        <v>Yes</v>
      </c>
      <c r="I4" cm="1">
        <f t="array" ref="I4">_xlfn.XLOOKUP(A4,Table1[[#All],[Hospital_ID]],Table1[[#All],[Digital_Training_Pct]])</f>
        <v>0.88</v>
      </c>
      <c r="J4">
        <f t="shared" si="0"/>
        <v>18.600000000000001</v>
      </c>
      <c r="K4">
        <f t="shared" si="1"/>
        <v>20</v>
      </c>
      <c r="L4">
        <f t="shared" si="2"/>
        <v>15</v>
      </c>
      <c r="M4">
        <f t="shared" si="3"/>
        <v>10</v>
      </c>
      <c r="N4">
        <f t="shared" si="4"/>
        <v>10</v>
      </c>
      <c r="O4">
        <f t="shared" si="5"/>
        <v>8.8000000000000007</v>
      </c>
      <c r="P4">
        <f t="shared" si="6"/>
        <v>82.399999999999991</v>
      </c>
      <c r="Q4" t="str">
        <f t="shared" si="7"/>
        <v>Advanced</v>
      </c>
      <c r="R4" t="str">
        <f t="shared" si="8"/>
        <v>Routine Monitoring</v>
      </c>
    </row>
    <row r="5" spans="1:18">
      <c r="A5" s="4" t="s">
        <v>15</v>
      </c>
      <c r="B5" t="str" cm="1">
        <f t="array" ref="B5">_xlfn.XLOOKUP(A5,Table1[[#All],[Hospital_ID]],Table1[[#All],[Hospital_Name]])</f>
        <v>Europa Health Institute</v>
      </c>
      <c r="C5" t="str" cm="1">
        <f t="array" ref="C5">_xlfn.XLOOKUP(A5,Table1[[#All],[Hospital_ID]],Table1[[#All],[Country]])</f>
        <v xml:space="preserve">Belgium </v>
      </c>
      <c r="D5" cm="1">
        <f t="array" ref="D5">_xlfn.XLOOKUP(A5,Table1[[#All],[Hospital_ID]],Table1[[#All],[EHR_Adoption_Pct]])</f>
        <v>0.94</v>
      </c>
      <c r="E5" t="str" cm="1">
        <f t="array" ref="E5">_xlfn.XLOOKUP(A5,Table1[[#All],[Hospital_ID]],Table1[[#All],[FHIR_Enabled]])</f>
        <v>Yes</v>
      </c>
      <c r="F5" t="str" cm="1">
        <f t="array" ref="F5">_xlfn.XLOOKUP(A5,Table1[[#All],[Hospital_ID]],Table1[[#All],[SNOMED_CT]])</f>
        <v>Yes</v>
      </c>
      <c r="G5" t="str" cm="1">
        <f t="array" ref="G5">_xlfn.XLOOKUP(A5,Table1[[#All],[Hospital_ID]],Table1[[#All],[LOINC]])</f>
        <v>Yes</v>
      </c>
      <c r="H5" t="str" cm="1">
        <f t="array" ref="H5">_xlfn.XLOOKUP(A5,Table1[[#All],[Hospital_ID]],Table1[[#All],[Patient_Portal]])</f>
        <v>Yes</v>
      </c>
      <c r="I5" cm="1">
        <f t="array" ref="I5">_xlfn.XLOOKUP(A5,Table1[[#All],[Hospital_ID]],Table1[[#All],[Digital_Training_Pct]])</f>
        <v>0.86</v>
      </c>
      <c r="J5">
        <f t="shared" si="0"/>
        <v>18.799999999999997</v>
      </c>
      <c r="K5">
        <f t="shared" si="1"/>
        <v>20</v>
      </c>
      <c r="L5">
        <f t="shared" si="2"/>
        <v>15</v>
      </c>
      <c r="M5">
        <f t="shared" si="3"/>
        <v>10</v>
      </c>
      <c r="N5">
        <f t="shared" si="4"/>
        <v>10</v>
      </c>
      <c r="O5">
        <f t="shared" si="5"/>
        <v>8.6</v>
      </c>
      <c r="P5">
        <f t="shared" si="6"/>
        <v>82.399999999999991</v>
      </c>
      <c r="Q5" t="str">
        <f t="shared" si="7"/>
        <v>Advanced</v>
      </c>
      <c r="R5" t="str">
        <f t="shared" si="8"/>
        <v>Routine Monitoring</v>
      </c>
    </row>
    <row r="6" spans="1:18">
      <c r="A6" s="5" t="s">
        <v>14</v>
      </c>
      <c r="B6" t="str" cm="1">
        <f t="array" ref="B6">_xlfn.XLOOKUP(A6,Table1[[#All],[Hospital_ID]],Table1[[#All],[Hospital_Name]])</f>
        <v>St. Clara Medical Centre</v>
      </c>
      <c r="C6" t="str" cm="1">
        <f t="array" ref="C6">_xlfn.XLOOKUP(A6,Table1[[#All],[Hospital_ID]],Table1[[#All],[Country]])</f>
        <v>France</v>
      </c>
      <c r="D6" cm="1">
        <f t="array" ref="D6">_xlfn.XLOOKUP(A6,Table1[[#All],[Hospital_ID]],Table1[[#All],[EHR_Adoption_Pct]])</f>
        <v>0.89</v>
      </c>
      <c r="E6" t="str" cm="1">
        <f t="array" ref="E6">_xlfn.XLOOKUP(A6,Table1[[#All],[Hospital_ID]],Table1[[#All],[FHIR_Enabled]])</f>
        <v>Yes</v>
      </c>
      <c r="F6" t="str" cm="1">
        <f t="array" ref="F6">_xlfn.XLOOKUP(A6,Table1[[#All],[Hospital_ID]],Table1[[#All],[SNOMED_CT]])</f>
        <v>Yes</v>
      </c>
      <c r="G6" t="str" cm="1">
        <f t="array" ref="G6">_xlfn.XLOOKUP(A6,Table1[[#All],[Hospital_ID]],Table1[[#All],[LOINC]])</f>
        <v>Partial</v>
      </c>
      <c r="H6" t="str" cm="1">
        <f t="array" ref="H6">_xlfn.XLOOKUP(A6,Table1[[#All],[Hospital_ID]],Table1[[#All],[Patient_Portal]])</f>
        <v>Yes</v>
      </c>
      <c r="I6" cm="1">
        <f t="array" ref="I6">_xlfn.XLOOKUP(A6,Table1[[#All],[Hospital_ID]],Table1[[#All],[Digital_Training_Pct]])</f>
        <v>0.79</v>
      </c>
      <c r="J6">
        <f t="shared" si="0"/>
        <v>17.8</v>
      </c>
      <c r="K6">
        <f t="shared" si="1"/>
        <v>20</v>
      </c>
      <c r="L6">
        <f t="shared" si="2"/>
        <v>15</v>
      </c>
      <c r="M6">
        <f t="shared" si="3"/>
        <v>5</v>
      </c>
      <c r="N6">
        <f t="shared" si="4"/>
        <v>10</v>
      </c>
      <c r="O6">
        <f t="shared" si="5"/>
        <v>7.9</v>
      </c>
      <c r="P6">
        <f t="shared" si="6"/>
        <v>75.7</v>
      </c>
      <c r="Q6" t="str">
        <f t="shared" si="7"/>
        <v>Developing</v>
      </c>
      <c r="R6" t="str">
        <f t="shared" si="8"/>
        <v>Routine Monitoring</v>
      </c>
    </row>
    <row r="7" spans="1:18">
      <c r="A7" s="5" t="s">
        <v>18</v>
      </c>
      <c r="B7" t="str" cm="1">
        <f t="array" ref="B7">_xlfn.XLOOKUP(A7,Table1[[#All],[Hospital_ID]],Table1[[#All],[Hospital_Name]])</f>
        <v>St.Aldric University Hospital</v>
      </c>
      <c r="C7" t="str" cm="1">
        <f t="array" ref="C7">_xlfn.XLOOKUP(A7,Table1[[#All],[Hospital_ID]],Table1[[#All],[Country]])</f>
        <v>Finland</v>
      </c>
      <c r="D7" cm="1">
        <f t="array" ref="D7">_xlfn.XLOOKUP(A7,Table1[[#All],[Hospital_ID]],Table1[[#All],[EHR_Adoption_Pct]])</f>
        <v>0.86</v>
      </c>
      <c r="E7" t="str" cm="1">
        <f t="array" ref="E7">_xlfn.XLOOKUP(A7,Table1[[#All],[Hospital_ID]],Table1[[#All],[FHIR_Enabled]])</f>
        <v>Yes</v>
      </c>
      <c r="F7" t="str" cm="1">
        <f t="array" ref="F7">_xlfn.XLOOKUP(A7,Table1[[#All],[Hospital_ID]],Table1[[#All],[SNOMED_CT]])</f>
        <v>Yes</v>
      </c>
      <c r="G7" t="str" cm="1">
        <f t="array" ref="G7">_xlfn.XLOOKUP(A7,Table1[[#All],[Hospital_ID]],Table1[[#All],[LOINC]])</f>
        <v>Partial</v>
      </c>
      <c r="H7" t="str" cm="1">
        <f t="array" ref="H7">_xlfn.XLOOKUP(A7,Table1[[#All],[Hospital_ID]],Table1[[#All],[Patient_Portal]])</f>
        <v>Yes</v>
      </c>
      <c r="I7" cm="1">
        <f t="array" ref="I7">_xlfn.XLOOKUP(A7,Table1[[#All],[Hospital_ID]],Table1[[#All],[Digital_Training_Pct]])</f>
        <v>0.74</v>
      </c>
      <c r="J7">
        <f t="shared" si="0"/>
        <v>17.2</v>
      </c>
      <c r="K7">
        <f t="shared" si="1"/>
        <v>20</v>
      </c>
      <c r="L7">
        <f t="shared" si="2"/>
        <v>15</v>
      </c>
      <c r="M7">
        <f t="shared" si="3"/>
        <v>5</v>
      </c>
      <c r="N7">
        <f t="shared" si="4"/>
        <v>10</v>
      </c>
      <c r="O7">
        <f t="shared" si="5"/>
        <v>7.4</v>
      </c>
      <c r="P7">
        <f t="shared" si="6"/>
        <v>74.600000000000009</v>
      </c>
      <c r="Q7" t="str">
        <f t="shared" si="7"/>
        <v>Developing</v>
      </c>
      <c r="R7" t="str">
        <f t="shared" si="8"/>
        <v>Routine Monitoring</v>
      </c>
    </row>
    <row r="8" spans="1:18">
      <c r="A8" s="4" t="s">
        <v>13</v>
      </c>
      <c r="B8" t="str" cm="1">
        <f t="array" ref="B8">_xlfn.XLOOKUP(A8,Table1[[#All],[Hospital_ID]],Table1[[#All],[Hospital_Name]])</f>
        <v>Helis General Hospital</v>
      </c>
      <c r="C8" t="str" cm="1">
        <f t="array" ref="C8">_xlfn.XLOOKUP(A8,Table1[[#All],[Hospital_ID]],Table1[[#All],[Country]])</f>
        <v>Austria</v>
      </c>
      <c r="D8" cm="1">
        <f t="array" ref="D8">_xlfn.XLOOKUP(A8,Table1[[#All],[Hospital_ID]],Table1[[#All],[EHR_Adoption_Pct]])</f>
        <v>0.84</v>
      </c>
      <c r="E8" t="str" cm="1">
        <f t="array" ref="E8">_xlfn.XLOOKUP(A8,Table1[[#All],[Hospital_ID]],Table1[[#All],[FHIR_Enabled]])</f>
        <v>Partial</v>
      </c>
      <c r="F8" t="str" cm="1">
        <f t="array" ref="F8">_xlfn.XLOOKUP(A8,Table1[[#All],[Hospital_ID]],Table1[[#All],[SNOMED_CT]])</f>
        <v>Partial</v>
      </c>
      <c r="G8" t="str" cm="1">
        <f t="array" ref="G8">_xlfn.XLOOKUP(A8,Table1[[#All],[Hospital_ID]],Table1[[#All],[LOINC]])</f>
        <v>Yes</v>
      </c>
      <c r="H8" t="str" cm="1">
        <f t="array" ref="H8">_xlfn.XLOOKUP(A8,Table1[[#All],[Hospital_ID]],Table1[[#All],[Patient_Portal]])</f>
        <v>Limited</v>
      </c>
      <c r="I8" cm="1">
        <f t="array" ref="I8">_xlfn.XLOOKUP(A8,Table1[[#All],[Hospital_ID]],Table1[[#All],[Digital_Training_Pct]])</f>
        <v>0.72</v>
      </c>
      <c r="J8">
        <f t="shared" si="0"/>
        <v>16.8</v>
      </c>
      <c r="K8">
        <f t="shared" si="1"/>
        <v>10</v>
      </c>
      <c r="L8">
        <f t="shared" si="2"/>
        <v>7.5</v>
      </c>
      <c r="M8">
        <f t="shared" si="3"/>
        <v>10</v>
      </c>
      <c r="N8">
        <f t="shared" si="4"/>
        <v>5</v>
      </c>
      <c r="O8">
        <f t="shared" si="5"/>
        <v>7.1999999999999993</v>
      </c>
      <c r="P8">
        <f t="shared" si="6"/>
        <v>56.5</v>
      </c>
      <c r="Q8" t="str">
        <f t="shared" si="7"/>
        <v>Needs Improvement</v>
      </c>
      <c r="R8" t="str">
        <f t="shared" si="8"/>
        <v>Management Priority</v>
      </c>
    </row>
    <row r="9" spans="1:18">
      <c r="A9" s="4" t="s">
        <v>17</v>
      </c>
      <c r="B9" t="str" cm="1">
        <f t="array" ref="B9">_xlfn.XLOOKUP(A9,Table1[[#All],[Hospital_ID]],Table1[[#All],[Hospital_Name]])</f>
        <v>Helix Medical Centre</v>
      </c>
      <c r="C9" t="str" cm="1">
        <f t="array" ref="C9">_xlfn.XLOOKUP(A9,Table1[[#All],[Hospital_ID]],Table1[[#All],[Country]])</f>
        <v>Denmark</v>
      </c>
      <c r="D9" cm="1">
        <f t="array" ref="D9">_xlfn.XLOOKUP(A9,Table1[[#All],[Hospital_ID]],Table1[[#All],[EHR_Adoption_Pct]])</f>
        <v>0.78</v>
      </c>
      <c r="E9" t="str" cm="1">
        <f t="array" ref="E9">_xlfn.XLOOKUP(A9,Table1[[#All],[Hospital_ID]],Table1[[#All],[FHIR_Enabled]])</f>
        <v>Partial</v>
      </c>
      <c r="F9" t="str" cm="1">
        <f t="array" ref="F9">_xlfn.XLOOKUP(A9,Table1[[#All],[Hospital_ID]],Table1[[#All],[SNOMED_CT]])</f>
        <v>Partial</v>
      </c>
      <c r="G9" t="str" cm="1">
        <f t="array" ref="G9">_xlfn.XLOOKUP(A9,Table1[[#All],[Hospital_ID]],Table1[[#All],[LOINC]])</f>
        <v>Partial</v>
      </c>
      <c r="H9" t="str" cm="1">
        <f t="array" ref="H9">_xlfn.XLOOKUP(A9,Table1[[#All],[Hospital_ID]],Table1[[#All],[Patient_Portal]])</f>
        <v>Partial</v>
      </c>
      <c r="I9" cm="1">
        <f t="array" ref="I9">_xlfn.XLOOKUP(A9,Table1[[#All],[Hospital_ID]],Table1[[#All],[Digital_Training_Pct]])</f>
        <v>0.66</v>
      </c>
      <c r="J9">
        <f t="shared" si="0"/>
        <v>15.600000000000001</v>
      </c>
      <c r="K9">
        <f t="shared" si="1"/>
        <v>10</v>
      </c>
      <c r="L9">
        <f t="shared" si="2"/>
        <v>7.5</v>
      </c>
      <c r="M9">
        <f t="shared" si="3"/>
        <v>5</v>
      </c>
      <c r="N9">
        <f t="shared" si="4"/>
        <v>0</v>
      </c>
      <c r="O9">
        <f t="shared" si="5"/>
        <v>6.6000000000000005</v>
      </c>
      <c r="P9">
        <f t="shared" si="6"/>
        <v>44.7</v>
      </c>
      <c r="Q9" t="str">
        <f t="shared" si="7"/>
        <v>Needs Improvement</v>
      </c>
      <c r="R9" t="str">
        <f t="shared" si="8"/>
        <v>Management Priority</v>
      </c>
    </row>
    <row r="10" spans="1:18">
      <c r="A10" s="4" t="s">
        <v>19</v>
      </c>
      <c r="B10" t="str" cm="1">
        <f t="array" ref="B10">_xlfn.XLOOKUP(A10,Table1[[#All],[Hospital_ID]],Table1[[#All],[Hospital_Name]])</f>
        <v>Clinica Santa Marisol</v>
      </c>
      <c r="C10" t="str" cm="1">
        <f t="array" ref="C10">_xlfn.XLOOKUP(A10,Table1[[#All],[Hospital_ID]],Table1[[#All],[Country]])</f>
        <v>Spain</v>
      </c>
      <c r="D10" cm="1">
        <f t="array" ref="D10">_xlfn.XLOOKUP(A10,Table1[[#All],[Hospital_ID]],Table1[[#All],[EHR_Adoption_Pct]])</f>
        <v>0.73</v>
      </c>
      <c r="E10" t="str" cm="1">
        <f t="array" ref="E10">_xlfn.XLOOKUP(A10,Table1[[#All],[Hospital_ID]],Table1[[#All],[FHIR_Enabled]])</f>
        <v>Partial</v>
      </c>
      <c r="F10" t="str" cm="1">
        <f t="array" ref="F10">_xlfn.XLOOKUP(A10,Table1[[#All],[Hospital_ID]],Table1[[#All],[SNOMED_CT]])</f>
        <v>Partial</v>
      </c>
      <c r="G10" t="str" cm="1">
        <f t="array" ref="G10">_xlfn.XLOOKUP(A10,Table1[[#All],[Hospital_ID]],Table1[[#All],[LOINC]])</f>
        <v>No</v>
      </c>
      <c r="H10" t="str" cm="1">
        <f t="array" ref="H10">_xlfn.XLOOKUP(A10,Table1[[#All],[Hospital_ID]],Table1[[#All],[Patient_Portal]])</f>
        <v>Limited</v>
      </c>
      <c r="I10" cm="1">
        <f t="array" ref="I10">_xlfn.XLOOKUP(A10,Table1[[#All],[Hospital_ID]],Table1[[#All],[Digital_Training_Pct]])</f>
        <v>0.57999999999999996</v>
      </c>
      <c r="J10">
        <f t="shared" si="0"/>
        <v>14.6</v>
      </c>
      <c r="K10">
        <f t="shared" si="1"/>
        <v>10</v>
      </c>
      <c r="L10">
        <f t="shared" si="2"/>
        <v>7.5</v>
      </c>
      <c r="M10">
        <f t="shared" si="3"/>
        <v>0</v>
      </c>
      <c r="N10">
        <f t="shared" si="4"/>
        <v>5</v>
      </c>
      <c r="O10">
        <f t="shared" si="5"/>
        <v>5.8</v>
      </c>
      <c r="P10">
        <f t="shared" si="6"/>
        <v>42.9</v>
      </c>
      <c r="Q10" t="str">
        <f t="shared" si="7"/>
        <v>Needs Improvement</v>
      </c>
      <c r="R10" t="str">
        <f t="shared" si="8"/>
        <v>Management Priority</v>
      </c>
    </row>
    <row r="11" spans="1:18">
      <c r="A11" s="5" t="s">
        <v>20</v>
      </c>
      <c r="B11" t="str" cm="1">
        <f t="array" ref="B11">_xlfn.XLOOKUP(A11,Table1[[#All],[Hospital_ID]],Table1[[#All],[Hospital_Name]])</f>
        <v>Nordhavan Regional Medical Centre</v>
      </c>
      <c r="C11" t="str" cm="1">
        <f t="array" ref="C11">_xlfn.XLOOKUP(A11,Table1[[#All],[Hospital_ID]],Table1[[#All],[Country]])</f>
        <v>Italy</v>
      </c>
      <c r="D11" cm="1">
        <f t="array" ref="D11">_xlfn.XLOOKUP(A11,Table1[[#All],[Hospital_ID]],Table1[[#All],[EHR_Adoption_Pct]])</f>
        <v>0.69</v>
      </c>
      <c r="E11" t="str" cm="1">
        <f t="array" ref="E11">_xlfn.XLOOKUP(A11,Table1[[#All],[Hospital_ID]],Table1[[#All],[FHIR_Enabled]])</f>
        <v>No</v>
      </c>
      <c r="F11" t="str" cm="1">
        <f t="array" ref="F11">_xlfn.XLOOKUP(A11,Table1[[#All],[Hospital_ID]],Table1[[#All],[SNOMED_CT]])</f>
        <v>No</v>
      </c>
      <c r="G11" t="str" cm="1">
        <f t="array" ref="G11">_xlfn.XLOOKUP(A11,Table1[[#All],[Hospital_ID]],Table1[[#All],[LOINC]])</f>
        <v>Partial</v>
      </c>
      <c r="H11" t="str" cm="1">
        <f t="array" ref="H11">_xlfn.XLOOKUP(A11,Table1[[#All],[Hospital_ID]],Table1[[#All],[Patient_Portal]])</f>
        <v>No</v>
      </c>
      <c r="I11" cm="1">
        <f t="array" ref="I11">_xlfn.XLOOKUP(A11,Table1[[#All],[Hospital_ID]],Table1[[#All],[Digital_Training_Pct]])</f>
        <v>0.51</v>
      </c>
      <c r="J11">
        <f t="shared" si="0"/>
        <v>13.799999999999999</v>
      </c>
      <c r="K11">
        <f t="shared" si="1"/>
        <v>0</v>
      </c>
      <c r="L11">
        <f t="shared" si="2"/>
        <v>0</v>
      </c>
      <c r="M11">
        <f t="shared" si="3"/>
        <v>5</v>
      </c>
      <c r="N11">
        <f t="shared" si="4"/>
        <v>0</v>
      </c>
      <c r="O11">
        <f t="shared" si="5"/>
        <v>5.0999999999999996</v>
      </c>
      <c r="P11">
        <f t="shared" si="6"/>
        <v>23.9</v>
      </c>
      <c r="Q11" t="str">
        <f t="shared" si="7"/>
        <v>Priority Intervention</v>
      </c>
      <c r="R11" t="str">
        <f t="shared" si="8"/>
        <v>Management Priority</v>
      </c>
    </row>
    <row r="15" spans="1:18">
      <c r="B15" s="1" t="s">
        <v>1</v>
      </c>
      <c r="C15" s="1" t="s">
        <v>286</v>
      </c>
    </row>
    <row r="16" spans="1:18">
      <c r="B16" t="s">
        <v>36</v>
      </c>
      <c r="C16">
        <v>83.7</v>
      </c>
    </row>
    <row r="17" spans="2:3">
      <c r="B17" t="s">
        <v>21</v>
      </c>
      <c r="C17">
        <v>83.3</v>
      </c>
    </row>
    <row r="18" spans="2:3">
      <c r="B18" t="s">
        <v>23</v>
      </c>
      <c r="C18">
        <v>82.399999999999991</v>
      </c>
    </row>
    <row r="19" spans="2:3">
      <c r="B19" t="s">
        <v>26</v>
      </c>
      <c r="C19">
        <v>82.399999999999991</v>
      </c>
    </row>
    <row r="20" spans="2:3">
      <c r="B20" t="s">
        <v>25</v>
      </c>
      <c r="C20">
        <v>75.7</v>
      </c>
    </row>
    <row r="21" spans="2:3">
      <c r="B21" t="s">
        <v>38</v>
      </c>
      <c r="C21">
        <v>74.600000000000009</v>
      </c>
    </row>
    <row r="22" spans="2:3">
      <c r="B22" t="s">
        <v>24</v>
      </c>
      <c r="C22">
        <v>56.5</v>
      </c>
    </row>
    <row r="23" spans="2:3">
      <c r="B23" t="s">
        <v>37</v>
      </c>
      <c r="C23">
        <v>44.7</v>
      </c>
    </row>
    <row r="24" spans="2:3">
      <c r="B24" t="s">
        <v>39</v>
      </c>
      <c r="C24">
        <v>42.9</v>
      </c>
    </row>
    <row r="25" spans="2:3">
      <c r="B25" t="s">
        <v>40</v>
      </c>
      <c r="C25">
        <v>23.9</v>
      </c>
    </row>
    <row r="29" spans="2:3">
      <c r="B29" s="62" t="s">
        <v>289</v>
      </c>
    </row>
    <row r="30" spans="2:3">
      <c r="B30" s="63"/>
    </row>
    <row r="31" spans="2:3">
      <c r="B31" s="64" t="s">
        <v>290</v>
      </c>
    </row>
    <row r="32" spans="2:3">
      <c r="B32" s="64"/>
    </row>
    <row r="33" spans="2:2">
      <c r="B33" s="64"/>
    </row>
    <row r="34" spans="2:2">
      <c r="B34" s="64"/>
    </row>
    <row r="35" spans="2:2">
      <c r="B35" s="64"/>
    </row>
    <row r="36" spans="2:2">
      <c r="B36" s="64" t="s">
        <v>291</v>
      </c>
    </row>
    <row r="37" spans="2:2">
      <c r="B37" s="64"/>
    </row>
    <row r="38" spans="2:2">
      <c r="B38" s="64"/>
    </row>
    <row r="39" spans="2:2">
      <c r="B39" s="64"/>
    </row>
    <row r="40" spans="2:2">
      <c r="B40" s="64" t="s">
        <v>292</v>
      </c>
    </row>
    <row r="41" spans="2:2">
      <c r="B41" s="64"/>
    </row>
    <row r="42" spans="2:2">
      <c r="B42" s="64"/>
    </row>
    <row r="43" spans="2:2">
      <c r="B43" s="64"/>
    </row>
    <row r="44" spans="2:2">
      <c r="B44" s="64"/>
    </row>
    <row r="45" spans="2:2">
      <c r="B45" s="64" t="s">
        <v>293</v>
      </c>
    </row>
    <row r="46" spans="2:2">
      <c r="B46" s="64"/>
    </row>
    <row r="47" spans="2:2">
      <c r="B47" s="64"/>
    </row>
    <row r="48" spans="2:2">
      <c r="B48" s="64"/>
    </row>
  </sheetData>
  <sortState xmlns:xlrd2="http://schemas.microsoft.com/office/spreadsheetml/2017/richdata2" ref="A2:R11">
    <sortCondition descending="1" ref="P1:P11"/>
  </sortState>
  <mergeCells count="5">
    <mergeCell ref="B29:B30"/>
    <mergeCell ref="B31:B35"/>
    <mergeCell ref="B36:B39"/>
    <mergeCell ref="B40:B44"/>
    <mergeCell ref="B45:B48"/>
  </mergeCells>
  <conditionalFormatting sqref="P1:P11">
    <cfRule type="dataBar" priority="1">
      <dataBar>
        <cfvo type="min"/>
        <cfvo type="max"/>
        <color rgb="FF638EC6"/>
      </dataBar>
      <extLst>
        <ext xmlns:x14="http://schemas.microsoft.com/office/spreadsheetml/2009/9/main" uri="{B025F937-C7B1-47D3-B67F-A62EFF666E3E}">
          <x14:id>{F7C422D6-6AA3-46E9-8F50-25B9C4F8EAA8}</x14:id>
        </ext>
      </extLst>
    </cfRule>
  </conditionalFormatting>
  <pageMargins left="0.7" right="0.7" top="0.75" bottom="0.75" header="0.3" footer="0.3"/>
  <drawing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F7C422D6-6AA3-46E9-8F50-25B9C4F8EAA8}">
            <x14:dataBar minLength="0" maxLength="100" border="1" negativeBarBorderColorSameAsPositive="0">
              <x14:cfvo type="autoMin"/>
              <x14:cfvo type="autoMax"/>
              <x14:borderColor rgb="FF638EC6"/>
              <x14:negativeFillColor rgb="FFFF0000"/>
              <x14:negativeBorderColor rgb="FFFF0000"/>
              <x14:axisColor rgb="FF000000"/>
            </x14:dataBar>
          </x14:cfRule>
          <xm:sqref>P1:P11</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29FD4-0CE3-4E88-9119-420924C8180D}">
  <sheetPr>
    <tabColor rgb="FFC00000"/>
  </sheetPr>
  <dimension ref="A1:P161"/>
  <sheetViews>
    <sheetView topLeftCell="A53" workbookViewId="0">
      <selection activeCell="E16" sqref="E16:E25"/>
    </sheetView>
  </sheetViews>
  <sheetFormatPr defaultRowHeight="14.4"/>
  <cols>
    <col min="1" max="1" width="12.77734375" customWidth="1"/>
    <col min="2" max="2" width="36.109375" bestFit="1" customWidth="1"/>
    <col min="3" max="3" width="18.33203125" customWidth="1"/>
    <col min="4" max="4" width="22.109375" customWidth="1"/>
    <col min="5" max="5" width="25" customWidth="1"/>
    <col min="6" max="6" width="34.5546875" customWidth="1"/>
    <col min="7" max="7" width="28.6640625" customWidth="1"/>
    <col min="8" max="8" width="25.44140625" customWidth="1"/>
    <col min="9" max="9" width="26.109375" customWidth="1"/>
    <col min="10" max="10" width="26.44140625" customWidth="1"/>
    <col min="11" max="11" width="26.5546875" customWidth="1"/>
    <col min="13" max="13" width="22.88671875" customWidth="1"/>
    <col min="14" max="14" width="10" customWidth="1"/>
    <col min="15" max="15" width="22.77734375" customWidth="1"/>
    <col min="16" max="16" width="19.88671875" customWidth="1"/>
    <col min="17" max="17" width="27.109375" bestFit="1" customWidth="1"/>
  </cols>
  <sheetData>
    <row r="1" spans="1:16">
      <c r="A1" s="54" t="s">
        <v>0</v>
      </c>
      <c r="B1" s="54" t="s">
        <v>1</v>
      </c>
      <c r="C1" s="54" t="s">
        <v>294</v>
      </c>
      <c r="D1" s="54" t="s">
        <v>295</v>
      </c>
      <c r="E1" s="54" t="s">
        <v>296</v>
      </c>
      <c r="F1" s="54" t="s">
        <v>297</v>
      </c>
      <c r="G1" s="54" t="s">
        <v>298</v>
      </c>
      <c r="H1" s="54" t="s">
        <v>299</v>
      </c>
      <c r="I1" s="54" t="s">
        <v>300</v>
      </c>
      <c r="J1" s="54" t="s">
        <v>301</v>
      </c>
      <c r="K1" s="54" t="s">
        <v>302</v>
      </c>
      <c r="L1" s="54" t="s">
        <v>4</v>
      </c>
      <c r="M1" s="54" t="s">
        <v>304</v>
      </c>
      <c r="N1" s="54" t="s">
        <v>305</v>
      </c>
      <c r="O1" s="54" t="s">
        <v>306</v>
      </c>
      <c r="P1" s="54" t="s">
        <v>307</v>
      </c>
    </row>
    <row r="2" spans="1:16">
      <c r="A2" s="4" t="s">
        <v>11</v>
      </c>
      <c r="B2" s="4" t="s">
        <v>21</v>
      </c>
      <c r="C2">
        <f>COUNTIF(tblEncounters5[[#All],[Hospital_ID]],'08_ROI_ANALYSIS'!A2)</f>
        <v>5</v>
      </c>
      <c r="D2">
        <f>COUNTIFS(tblEncounters5[[#All],[Hospital_ID]],'08_ROI_ANALYSIS'!A2,tblEncounters5[[#All],[Duplicate_Test]],"Yes")</f>
        <v>3</v>
      </c>
      <c r="E2" s="42">
        <f>D2/C2</f>
        <v>0.6</v>
      </c>
      <c r="F2" s="45">
        <f t="shared" ref="F2:F11" si="0">$B$161</f>
        <v>5000</v>
      </c>
      <c r="G2" s="45">
        <f>D2*F2</f>
        <v>15000</v>
      </c>
      <c r="H2" s="3">
        <f t="shared" ref="H2:H11" si="1">$B$159</f>
        <v>0.25</v>
      </c>
      <c r="I2" s="44">
        <f>G2*H2</f>
        <v>3750</v>
      </c>
      <c r="J2" s="56">
        <f>I2*4</f>
        <v>15000</v>
      </c>
      <c r="K2" s="45">
        <f>IF(L2&gt;=500,50000,IF(L2&gt;=250,35000,20000))</f>
        <v>50000</v>
      </c>
      <c r="L2" cm="1">
        <f t="array" ref="L2">_xlfn.XLOOKUP('08_ROI_ANALYSIS'!A2,Table1[[#All],[Hospital_ID]],Table1[[#All],[Beds]],"Not Found")</f>
        <v>720</v>
      </c>
      <c r="M2" s="44">
        <f>J2-K2</f>
        <v>-35000</v>
      </c>
      <c r="N2" s="48">
        <f>M2/K2*100</f>
        <v>-70</v>
      </c>
      <c r="O2" s="47">
        <f>IF(J2&gt;0,K2/J2,"NA")</f>
        <v>3.3333333333333335</v>
      </c>
      <c r="P2" t="str">
        <f>IF(AND(Table15[[#This Row],[Overall_Readiness_Score]]&lt;60,'08_ROI_ANALYSIS'!E2&gt;=10%),"High Priority",IF(OR(Table15[[#This Row],[Overall_Readiness_Score]]&lt;70,'08_ROI_ANALYSIS'!E2&gt;=5%),"Medium Priority","Routine"))</f>
        <v>Medium Priority</v>
      </c>
    </row>
    <row r="3" spans="1:16">
      <c r="A3" s="5" t="s">
        <v>12</v>
      </c>
      <c r="B3" s="5" t="s">
        <v>23</v>
      </c>
      <c r="C3">
        <f>COUNTIF(tblEncounters5[[#All],[Hospital_ID]],'08_ROI_ANALYSIS'!A3)</f>
        <v>5</v>
      </c>
      <c r="D3">
        <f>COUNTIFS(tblEncounters5[[#All],[Hospital_ID]],'08_ROI_ANALYSIS'!A3,tblEncounters5[[#All],[Duplicate_Test]],"Yes")</f>
        <v>0</v>
      </c>
      <c r="E3" s="42">
        <f t="shared" ref="E3:E11" si="2">D3/C3</f>
        <v>0</v>
      </c>
      <c r="F3" s="45">
        <f t="shared" si="0"/>
        <v>5000</v>
      </c>
      <c r="G3" s="45">
        <f t="shared" ref="G3:G11" si="3">D3*F3</f>
        <v>0</v>
      </c>
      <c r="H3" s="3">
        <f t="shared" si="1"/>
        <v>0.25</v>
      </c>
      <c r="I3" s="44">
        <f t="shared" ref="I3:I11" si="4">G3*H3</f>
        <v>0</v>
      </c>
      <c r="J3" s="56">
        <f t="shared" ref="J3:J11" si="5">I3*4</f>
        <v>0</v>
      </c>
      <c r="K3" s="45">
        <f t="shared" ref="K3:K11" si="6">IF(L3&gt;=500,50000,IF(L3&gt;=250,35000,20000))</f>
        <v>35000</v>
      </c>
      <c r="L3" cm="1">
        <f t="array" ref="L3">_xlfn.XLOOKUP('08_ROI_ANALYSIS'!A3,Table1[[#All],[Hospital_ID]],Table1[[#All],[Beds]],"Not Found")</f>
        <v>460</v>
      </c>
      <c r="M3" s="44">
        <f t="shared" ref="M3:M11" si="7">J3-K3</f>
        <v>-35000</v>
      </c>
      <c r="N3" s="48">
        <f t="shared" ref="N3:N11" si="8">M3/K3*100</f>
        <v>-100</v>
      </c>
      <c r="O3" s="47" t="str">
        <f t="shared" ref="O3:O11" si="9">IF(J3&gt;0,K3/J3,"NA")</f>
        <v>NA</v>
      </c>
      <c r="P3" t="str">
        <f>IF(AND(Table15[[#This Row],[Overall_Readiness_Score]]&lt;60,'08_ROI_ANALYSIS'!E3&gt;=10%),"High Priority",IF(OR(Table15[[#This Row],[Overall_Readiness_Score]]&lt;70,'08_ROI_ANALYSIS'!E3&gt;=5%),"Medium Priority","Routine"))</f>
        <v>Routine</v>
      </c>
    </row>
    <row r="4" spans="1:16">
      <c r="A4" s="4" t="s">
        <v>13</v>
      </c>
      <c r="B4" s="4" t="s">
        <v>24</v>
      </c>
      <c r="C4">
        <f>COUNTIF(tblEncounters5[[#All],[Hospital_ID]],'08_ROI_ANALYSIS'!A4)</f>
        <v>5</v>
      </c>
      <c r="D4">
        <f>COUNTIFS(tblEncounters5[[#All],[Hospital_ID]],'08_ROI_ANALYSIS'!A4,tblEncounters5[[#All],[Duplicate_Test]],"Yes")</f>
        <v>0</v>
      </c>
      <c r="E4" s="42">
        <f t="shared" si="2"/>
        <v>0</v>
      </c>
      <c r="F4" s="45">
        <f t="shared" si="0"/>
        <v>5000</v>
      </c>
      <c r="G4" s="45">
        <f t="shared" si="3"/>
        <v>0</v>
      </c>
      <c r="H4" s="3">
        <f t="shared" si="1"/>
        <v>0.25</v>
      </c>
      <c r="I4" s="44">
        <f t="shared" si="4"/>
        <v>0</v>
      </c>
      <c r="J4" s="56">
        <f t="shared" si="5"/>
        <v>0</v>
      </c>
      <c r="K4" s="45">
        <f t="shared" si="6"/>
        <v>35000</v>
      </c>
      <c r="L4" cm="1">
        <f t="array" ref="L4">_xlfn.XLOOKUP('08_ROI_ANALYSIS'!A4,Table1[[#All],[Hospital_ID]],Table1[[#All],[Beds]],"Not Found")</f>
        <v>380</v>
      </c>
      <c r="M4" s="44">
        <f t="shared" si="7"/>
        <v>-35000</v>
      </c>
      <c r="N4" s="48">
        <f t="shared" si="8"/>
        <v>-100</v>
      </c>
      <c r="O4" s="47" t="str">
        <f t="shared" si="9"/>
        <v>NA</v>
      </c>
      <c r="P4" t="str">
        <f>IF(AND(Table15[[#This Row],[Overall_Readiness_Score]]&lt;60,'08_ROI_ANALYSIS'!E4&gt;=10%),"High Priority",IF(OR(Table15[[#This Row],[Overall_Readiness_Score]]&lt;70,'08_ROI_ANALYSIS'!E4&gt;=5%),"Medium Priority","Routine"))</f>
        <v>Routine</v>
      </c>
    </row>
    <row r="5" spans="1:16">
      <c r="A5" s="5" t="s">
        <v>14</v>
      </c>
      <c r="B5" s="5" t="s">
        <v>25</v>
      </c>
      <c r="C5">
        <f>COUNTIF(tblEncounters5[[#All],[Hospital_ID]],'08_ROI_ANALYSIS'!A5)</f>
        <v>5</v>
      </c>
      <c r="D5">
        <f>COUNTIFS(tblEncounters5[[#All],[Hospital_ID]],'08_ROI_ANALYSIS'!A5,tblEncounters5[[#All],[Duplicate_Test]],"Yes")</f>
        <v>0</v>
      </c>
      <c r="E5" s="42">
        <f t="shared" si="2"/>
        <v>0</v>
      </c>
      <c r="F5" s="45">
        <f t="shared" si="0"/>
        <v>5000</v>
      </c>
      <c r="G5" s="45">
        <f t="shared" si="3"/>
        <v>0</v>
      </c>
      <c r="H5" s="3">
        <f t="shared" si="1"/>
        <v>0.25</v>
      </c>
      <c r="I5" s="44">
        <f t="shared" si="4"/>
        <v>0</v>
      </c>
      <c r="J5" s="56">
        <f t="shared" si="5"/>
        <v>0</v>
      </c>
      <c r="K5" s="45">
        <f t="shared" si="6"/>
        <v>35000</v>
      </c>
      <c r="L5" cm="1">
        <f t="array" ref="L5">_xlfn.XLOOKUP('08_ROI_ANALYSIS'!A5,Table1[[#All],[Hospital_ID]],Table1[[#All],[Beds]],"Not Found")</f>
        <v>290</v>
      </c>
      <c r="M5" s="44">
        <f t="shared" si="7"/>
        <v>-35000</v>
      </c>
      <c r="N5" s="48">
        <f t="shared" si="8"/>
        <v>-100</v>
      </c>
      <c r="O5" s="47" t="str">
        <f t="shared" si="9"/>
        <v>NA</v>
      </c>
      <c r="P5" t="str">
        <f>IF(AND(Table15[[#This Row],[Overall_Readiness_Score]]&lt;60,'08_ROI_ANALYSIS'!E5&gt;=10%),"High Priority",IF(OR(Table15[[#This Row],[Overall_Readiness_Score]]&lt;70,'08_ROI_ANALYSIS'!E5&gt;=5%),"Medium Priority","Routine"))</f>
        <v>Routine</v>
      </c>
    </row>
    <row r="6" spans="1:16">
      <c r="A6" s="4" t="s">
        <v>15</v>
      </c>
      <c r="B6" s="4" t="s">
        <v>26</v>
      </c>
      <c r="C6">
        <f>COUNTIF(tblEncounters5[[#All],[Hospital_ID]],'08_ROI_ANALYSIS'!A6)</f>
        <v>6</v>
      </c>
      <c r="D6">
        <f>COUNTIFS(tblEncounters5[[#All],[Hospital_ID]],'08_ROI_ANALYSIS'!A6,tblEncounters5[[#All],[Duplicate_Test]],"Yes")</f>
        <v>3</v>
      </c>
      <c r="E6" s="42">
        <f t="shared" si="2"/>
        <v>0.5</v>
      </c>
      <c r="F6" s="45">
        <f t="shared" si="0"/>
        <v>5000</v>
      </c>
      <c r="G6" s="45">
        <f t="shared" si="3"/>
        <v>15000</v>
      </c>
      <c r="H6" s="3">
        <f t="shared" si="1"/>
        <v>0.25</v>
      </c>
      <c r="I6" s="44">
        <f t="shared" si="4"/>
        <v>3750</v>
      </c>
      <c r="J6" s="56">
        <f t="shared" si="5"/>
        <v>15000</v>
      </c>
      <c r="K6" s="45">
        <f t="shared" si="6"/>
        <v>50000</v>
      </c>
      <c r="L6" cm="1">
        <f t="array" ref="L6">_xlfn.XLOOKUP('08_ROI_ANALYSIS'!A6,Table1[[#All],[Hospital_ID]],Table1[[#All],[Beds]],"Not Found")</f>
        <v>650</v>
      </c>
      <c r="M6" s="44">
        <f t="shared" si="7"/>
        <v>-35000</v>
      </c>
      <c r="N6" s="48">
        <f t="shared" si="8"/>
        <v>-70</v>
      </c>
      <c r="O6" s="47">
        <f t="shared" si="9"/>
        <v>3.3333333333333335</v>
      </c>
      <c r="P6" t="str">
        <f>IF(AND(Table15[[#This Row],[Overall_Readiness_Score]]&lt;60,'08_ROI_ANALYSIS'!E6&gt;=10%),"High Priority",IF(OR(Table15[[#This Row],[Overall_Readiness_Score]]&lt;70,'08_ROI_ANALYSIS'!E6&gt;=5%),"Medium Priority","Routine"))</f>
        <v>Medium Priority</v>
      </c>
    </row>
    <row r="7" spans="1:16">
      <c r="A7" s="5" t="s">
        <v>16</v>
      </c>
      <c r="B7" s="5" t="s">
        <v>36</v>
      </c>
      <c r="C7">
        <f>COUNTIF(tblEncounters5[[#All],[Hospital_ID]],'08_ROI_ANALYSIS'!A7)</f>
        <v>5</v>
      </c>
      <c r="D7">
        <f>COUNTIFS(tblEncounters5[[#All],[Hospital_ID]],'08_ROI_ANALYSIS'!A7,tblEncounters5[[#All],[Duplicate_Test]],"Yes")</f>
        <v>0</v>
      </c>
      <c r="E7" s="42">
        <f t="shared" si="2"/>
        <v>0</v>
      </c>
      <c r="F7" s="45">
        <f t="shared" si="0"/>
        <v>5000</v>
      </c>
      <c r="G7" s="45">
        <f t="shared" si="3"/>
        <v>0</v>
      </c>
      <c r="H7" s="3">
        <f t="shared" si="1"/>
        <v>0.25</v>
      </c>
      <c r="I7" s="44">
        <f t="shared" si="4"/>
        <v>0</v>
      </c>
      <c r="J7" s="56">
        <f t="shared" si="5"/>
        <v>0</v>
      </c>
      <c r="K7" s="45">
        <f t="shared" si="6"/>
        <v>35000</v>
      </c>
      <c r="L7" cm="1">
        <f t="array" ref="L7">_xlfn.XLOOKUP('08_ROI_ANALYSIS'!A7,Table1[[#All],[Hospital_ID]],Table1[[#All],[Beds]],"Not Found")</f>
        <v>410</v>
      </c>
      <c r="M7" s="44">
        <f t="shared" si="7"/>
        <v>-35000</v>
      </c>
      <c r="N7" s="48">
        <f t="shared" si="8"/>
        <v>-100</v>
      </c>
      <c r="O7" s="47" t="str">
        <f t="shared" si="9"/>
        <v>NA</v>
      </c>
      <c r="P7" t="str">
        <f>IF(AND(Table15[[#This Row],[Overall_Readiness_Score]]&lt;60,'08_ROI_ANALYSIS'!E7&gt;=10%),"High Priority",IF(OR(Table15[[#This Row],[Overall_Readiness_Score]]&lt;70,'08_ROI_ANALYSIS'!E7&gt;=5%),"Medium Priority","Routine"))</f>
        <v>Routine</v>
      </c>
    </row>
    <row r="8" spans="1:16">
      <c r="A8" s="4" t="s">
        <v>17</v>
      </c>
      <c r="B8" s="4" t="s">
        <v>37</v>
      </c>
      <c r="C8">
        <f>COUNTIF(tblEncounters5[[#All],[Hospital_ID]],'08_ROI_ANALYSIS'!A8)</f>
        <v>5</v>
      </c>
      <c r="D8">
        <f>COUNTIFS(tblEncounters5[[#All],[Hospital_ID]],'08_ROI_ANALYSIS'!A8,tblEncounters5[[#All],[Duplicate_Test]],"Yes")</f>
        <v>3</v>
      </c>
      <c r="E8" s="42">
        <f t="shared" si="2"/>
        <v>0.6</v>
      </c>
      <c r="F8" s="45">
        <f t="shared" si="0"/>
        <v>5000</v>
      </c>
      <c r="G8" s="45">
        <f t="shared" si="3"/>
        <v>15000</v>
      </c>
      <c r="H8" s="3">
        <f t="shared" si="1"/>
        <v>0.25</v>
      </c>
      <c r="I8" s="44">
        <f t="shared" si="4"/>
        <v>3750</v>
      </c>
      <c r="J8" s="56">
        <f t="shared" si="5"/>
        <v>15000</v>
      </c>
      <c r="K8" s="45">
        <f t="shared" si="6"/>
        <v>20000</v>
      </c>
      <c r="L8" cm="1">
        <f t="array" ref="L8">_xlfn.XLOOKUP('08_ROI_ANALYSIS'!A8,Table1[[#All],[Hospital_ID]],Table1[[#All],[Beds]],"Not Found")</f>
        <v>210</v>
      </c>
      <c r="M8" s="44">
        <f t="shared" si="7"/>
        <v>-5000</v>
      </c>
      <c r="N8" s="48">
        <f t="shared" si="8"/>
        <v>-25</v>
      </c>
      <c r="O8" s="47">
        <f t="shared" si="9"/>
        <v>1.3333333333333333</v>
      </c>
      <c r="P8" t="str">
        <f>IF(AND(Table15[[#This Row],[Overall_Readiness_Score]]&lt;60,'08_ROI_ANALYSIS'!E8&gt;=10%),"High Priority",IF(OR(Table15[[#This Row],[Overall_Readiness_Score]]&lt;70,'08_ROI_ANALYSIS'!E8&gt;=5%),"Medium Priority","Routine"))</f>
        <v>High Priority</v>
      </c>
    </row>
    <row r="9" spans="1:16">
      <c r="A9" s="5" t="s">
        <v>18</v>
      </c>
      <c r="B9" s="5" t="s">
        <v>38</v>
      </c>
      <c r="C9">
        <f>COUNTIF(tblEncounters5[[#All],[Hospital_ID]],'08_ROI_ANALYSIS'!A9)</f>
        <v>5</v>
      </c>
      <c r="D9">
        <f>COUNTIFS(tblEncounters5[[#All],[Hospital_ID]],'08_ROI_ANALYSIS'!A9,tblEncounters5[[#All],[Duplicate_Test]],"Yes")</f>
        <v>0</v>
      </c>
      <c r="E9" s="42">
        <f t="shared" si="2"/>
        <v>0</v>
      </c>
      <c r="F9" s="45">
        <f t="shared" si="0"/>
        <v>5000</v>
      </c>
      <c r="G9" s="45">
        <f t="shared" si="3"/>
        <v>0</v>
      </c>
      <c r="H9" s="3">
        <f t="shared" si="1"/>
        <v>0.25</v>
      </c>
      <c r="I9" s="44">
        <f t="shared" si="4"/>
        <v>0</v>
      </c>
      <c r="J9" s="56">
        <f t="shared" si="5"/>
        <v>0</v>
      </c>
      <c r="K9" s="45">
        <f t="shared" si="6"/>
        <v>50000</v>
      </c>
      <c r="L9" cm="1">
        <f t="array" ref="L9">_xlfn.XLOOKUP('08_ROI_ANALYSIS'!A9,Table1[[#All],[Hospital_ID]],Table1[[#All],[Beds]],"Not Found")</f>
        <v>520</v>
      </c>
      <c r="M9" s="44">
        <f t="shared" si="7"/>
        <v>-50000</v>
      </c>
      <c r="N9" s="48">
        <f t="shared" si="8"/>
        <v>-100</v>
      </c>
      <c r="O9" s="47" t="str">
        <f t="shared" si="9"/>
        <v>NA</v>
      </c>
      <c r="P9" t="str">
        <f>IF(AND(Table15[[#This Row],[Overall_Readiness_Score]]&lt;60,'08_ROI_ANALYSIS'!E9&gt;=10%),"High Priority",IF(OR(Table15[[#This Row],[Overall_Readiness_Score]]&lt;70,'08_ROI_ANALYSIS'!E9&gt;=5%),"Medium Priority","Routine"))</f>
        <v>Medium Priority</v>
      </c>
    </row>
    <row r="10" spans="1:16">
      <c r="A10" s="4" t="s">
        <v>19</v>
      </c>
      <c r="B10" s="4" t="s">
        <v>39</v>
      </c>
      <c r="C10">
        <f>COUNTIF(tblEncounters5[[#All],[Hospital_ID]],'08_ROI_ANALYSIS'!A10)</f>
        <v>5</v>
      </c>
      <c r="D10">
        <f>COUNTIFS(tblEncounters5[[#All],[Hospital_ID]],'08_ROI_ANALYSIS'!A10,tblEncounters5[[#All],[Duplicate_Test]],"Yes")</f>
        <v>1</v>
      </c>
      <c r="E10" s="42">
        <f t="shared" si="2"/>
        <v>0.2</v>
      </c>
      <c r="F10" s="45">
        <f t="shared" si="0"/>
        <v>5000</v>
      </c>
      <c r="G10" s="45">
        <f t="shared" si="3"/>
        <v>5000</v>
      </c>
      <c r="H10" s="3">
        <f t="shared" si="1"/>
        <v>0.25</v>
      </c>
      <c r="I10" s="44">
        <f t="shared" si="4"/>
        <v>1250</v>
      </c>
      <c r="J10" s="56">
        <f t="shared" si="5"/>
        <v>5000</v>
      </c>
      <c r="K10" s="45">
        <f t="shared" si="6"/>
        <v>35000</v>
      </c>
      <c r="L10" cm="1">
        <f t="array" ref="L10">_xlfn.XLOOKUP('08_ROI_ANALYSIS'!A10,Table1[[#All],[Hospital_ID]],Table1[[#All],[Beds]],"Not Found")</f>
        <v>340</v>
      </c>
      <c r="M10" s="44">
        <f t="shared" si="7"/>
        <v>-30000</v>
      </c>
      <c r="N10" s="48">
        <f t="shared" si="8"/>
        <v>-85.714285714285708</v>
      </c>
      <c r="O10" s="47">
        <f t="shared" si="9"/>
        <v>7</v>
      </c>
      <c r="P10" t="str">
        <f>IF(AND(Table15[[#This Row],[Overall_Readiness_Score]]&lt;60,'08_ROI_ANALYSIS'!E10&gt;=10%),"High Priority",IF(OR(Table15[[#This Row],[Overall_Readiness_Score]]&lt;70,'08_ROI_ANALYSIS'!E10&gt;=5%),"Medium Priority","Routine"))</f>
        <v>High Priority</v>
      </c>
    </row>
    <row r="11" spans="1:16">
      <c r="A11" s="5" t="s">
        <v>20</v>
      </c>
      <c r="B11" s="5" t="s">
        <v>40</v>
      </c>
      <c r="C11">
        <f>COUNTIF(tblEncounters5[[#All],[Hospital_ID]],'08_ROI_ANALYSIS'!A11)</f>
        <v>4</v>
      </c>
      <c r="D11">
        <f>COUNTIFS(tblEncounters5[[#All],[Hospital_ID]],'08_ROI_ANALYSIS'!A11,tblEncounters5[[#All],[Duplicate_Test]],"Yes")</f>
        <v>0</v>
      </c>
      <c r="E11" s="42">
        <f t="shared" si="2"/>
        <v>0</v>
      </c>
      <c r="F11" s="45">
        <f t="shared" si="0"/>
        <v>5000</v>
      </c>
      <c r="G11" s="45">
        <f t="shared" si="3"/>
        <v>0</v>
      </c>
      <c r="H11" s="3">
        <f t="shared" si="1"/>
        <v>0.25</v>
      </c>
      <c r="I11" s="44">
        <f t="shared" si="4"/>
        <v>0</v>
      </c>
      <c r="J11" s="56">
        <f t="shared" si="5"/>
        <v>0</v>
      </c>
      <c r="K11" s="45">
        <f t="shared" si="6"/>
        <v>20000</v>
      </c>
      <c r="L11" cm="1">
        <f t="array" ref="L11">_xlfn.XLOOKUP('08_ROI_ANALYSIS'!A11,Table1[[#All],[Hospital_ID]],Table1[[#All],[Beds]],"Not Found")</f>
        <v>180</v>
      </c>
      <c r="M11" s="44">
        <f t="shared" si="7"/>
        <v>-20000</v>
      </c>
      <c r="N11" s="48">
        <f t="shared" si="8"/>
        <v>-100</v>
      </c>
      <c r="O11" s="47" t="str">
        <f t="shared" si="9"/>
        <v>NA</v>
      </c>
      <c r="P11" t="str">
        <f>IF(AND(Table15[[#This Row],[Overall_Readiness_Score]]&lt;60,'08_ROI_ANALYSIS'!E11&gt;=10%),"High Priority",IF(OR(Table15[[#This Row],[Overall_Readiness_Score]]&lt;70,'08_ROI_ANALYSIS'!E11&gt;=5%),"Medium Priority","Routine"))</f>
        <v>Medium Priority</v>
      </c>
    </row>
    <row r="12" spans="1:16">
      <c r="F12" s="9"/>
    </row>
    <row r="13" spans="1:16">
      <c r="F13" s="9"/>
    </row>
    <row r="14" spans="1:16">
      <c r="F14" s="9"/>
    </row>
    <row r="15" spans="1:16" ht="15" thickBot="1">
      <c r="B15" s="1" t="s">
        <v>308</v>
      </c>
      <c r="D15" s="55" t="s">
        <v>1</v>
      </c>
      <c r="E15" s="13" t="s">
        <v>301</v>
      </c>
      <c r="G15" s="43"/>
    </row>
    <row r="16" spans="1:16">
      <c r="B16" s="53" t="s">
        <v>309</v>
      </c>
      <c r="D16" s="4" t="s">
        <v>21</v>
      </c>
      <c r="E16" s="77">
        <v>15000</v>
      </c>
      <c r="G16" s="9"/>
    </row>
    <row r="17" spans="2:11">
      <c r="B17" s="53" t="s">
        <v>310</v>
      </c>
      <c r="D17" s="5" t="s">
        <v>23</v>
      </c>
      <c r="E17" s="77">
        <v>0</v>
      </c>
      <c r="K17" s="9"/>
    </row>
    <row r="18" spans="2:11">
      <c r="B18" s="53" t="s">
        <v>311</v>
      </c>
      <c r="D18" s="4" t="s">
        <v>24</v>
      </c>
      <c r="E18" s="77">
        <v>0</v>
      </c>
      <c r="K18" s="9"/>
    </row>
    <row r="19" spans="2:11">
      <c r="B19" s="53" t="s">
        <v>312</v>
      </c>
      <c r="D19" s="5" t="s">
        <v>25</v>
      </c>
      <c r="E19" s="77">
        <v>0</v>
      </c>
      <c r="K19" s="9"/>
    </row>
    <row r="20" spans="2:11">
      <c r="B20" s="53" t="s">
        <v>313</v>
      </c>
      <c r="D20" s="4" t="s">
        <v>26</v>
      </c>
      <c r="E20" s="77">
        <v>15000</v>
      </c>
      <c r="K20" s="9"/>
    </row>
    <row r="21" spans="2:11">
      <c r="B21" s="53" t="s">
        <v>314</v>
      </c>
      <c r="D21" s="5" t="s">
        <v>36</v>
      </c>
      <c r="E21" s="77">
        <v>0</v>
      </c>
    </row>
    <row r="22" spans="2:11">
      <c r="B22" s="53" t="s">
        <v>315</v>
      </c>
      <c r="D22" s="4" t="s">
        <v>37</v>
      </c>
      <c r="E22" s="77">
        <v>15000</v>
      </c>
    </row>
    <row r="23" spans="2:11">
      <c r="B23" s="53" t="s">
        <v>316</v>
      </c>
      <c r="D23" s="5" t="s">
        <v>38</v>
      </c>
      <c r="E23" s="77">
        <v>0</v>
      </c>
    </row>
    <row r="24" spans="2:11">
      <c r="B24" s="53" t="s">
        <v>317</v>
      </c>
      <c r="D24" s="4" t="s">
        <v>39</v>
      </c>
      <c r="E24" s="77">
        <v>5000</v>
      </c>
    </row>
    <row r="25" spans="2:11">
      <c r="D25" s="5" t="s">
        <v>40</v>
      </c>
      <c r="E25" s="77">
        <v>0</v>
      </c>
    </row>
    <row r="27" spans="2:11" ht="18">
      <c r="B27" s="49" t="s">
        <v>318</v>
      </c>
      <c r="C27" s="50">
        <f>SUM(D2:D11)</f>
        <v>10</v>
      </c>
      <c r="H27">
        <f>50</f>
        <v>50</v>
      </c>
    </row>
    <row r="28" spans="2:11" ht="18">
      <c r="B28" s="49" t="s">
        <v>319</v>
      </c>
      <c r="C28" s="51">
        <f>SUM(J2:J11)</f>
        <v>50000</v>
      </c>
    </row>
    <row r="29" spans="2:11" ht="18.600000000000001" thickBot="1">
      <c r="B29" s="49" t="s">
        <v>320</v>
      </c>
      <c r="C29" s="51">
        <f>SUM(K2:K11)</f>
        <v>365000</v>
      </c>
      <c r="D29" s="55" t="s">
        <v>1</v>
      </c>
      <c r="E29" s="13" t="s">
        <v>305</v>
      </c>
    </row>
    <row r="30" spans="2:11" ht="18">
      <c r="B30" s="49" t="s">
        <v>321</v>
      </c>
      <c r="C30" s="52">
        <f>SUM(J2:J11)-SUM(K2:K11)/SUM(K2:K11)</f>
        <v>49999</v>
      </c>
      <c r="D30" s="4" t="s">
        <v>21</v>
      </c>
      <c r="E30">
        <v>-70</v>
      </c>
    </row>
    <row r="31" spans="2:11">
      <c r="D31" s="5" t="s">
        <v>23</v>
      </c>
      <c r="E31">
        <v>-100</v>
      </c>
    </row>
    <row r="32" spans="2:11">
      <c r="D32" s="4" t="s">
        <v>24</v>
      </c>
      <c r="E32">
        <v>-100</v>
      </c>
    </row>
    <row r="33" spans="1:5">
      <c r="D33" s="5" t="s">
        <v>25</v>
      </c>
      <c r="E33">
        <v>-100</v>
      </c>
    </row>
    <row r="34" spans="1:5">
      <c r="D34" s="4" t="s">
        <v>26</v>
      </c>
      <c r="E34">
        <v>-70</v>
      </c>
    </row>
    <row r="35" spans="1:5">
      <c r="D35" s="5" t="s">
        <v>36</v>
      </c>
      <c r="E35">
        <v>-100</v>
      </c>
    </row>
    <row r="36" spans="1:5">
      <c r="D36" s="4" t="s">
        <v>37</v>
      </c>
      <c r="E36">
        <v>-25</v>
      </c>
    </row>
    <row r="37" spans="1:5">
      <c r="D37" s="5" t="s">
        <v>38</v>
      </c>
      <c r="E37">
        <v>-100</v>
      </c>
    </row>
    <row r="38" spans="1:5">
      <c r="D38" s="4" t="s">
        <v>39</v>
      </c>
      <c r="E38">
        <v>-85.714285714285708</v>
      </c>
    </row>
    <row r="39" spans="1:5">
      <c r="D39" s="5" t="s">
        <v>40</v>
      </c>
      <c r="E39">
        <v>-100</v>
      </c>
    </row>
    <row r="46" spans="1:5">
      <c r="A46" s="57" t="s">
        <v>322</v>
      </c>
      <c r="B46" s="57" t="s">
        <v>323</v>
      </c>
      <c r="C46" s="57" t="s">
        <v>324</v>
      </c>
      <c r="D46" s="57" t="s">
        <v>325</v>
      </c>
    </row>
    <row r="47" spans="1:5" ht="129.6">
      <c r="A47" s="58" t="s">
        <v>326</v>
      </c>
      <c r="B47" s="59" t="s">
        <v>327</v>
      </c>
      <c r="C47" s="59" t="s">
        <v>328</v>
      </c>
      <c r="D47" s="59" t="s">
        <v>329</v>
      </c>
    </row>
    <row r="48" spans="1:5" ht="129.6">
      <c r="A48" s="58" t="s">
        <v>330</v>
      </c>
      <c r="B48" s="59" t="s">
        <v>331</v>
      </c>
      <c r="C48" s="59" t="s">
        <v>332</v>
      </c>
      <c r="D48" s="59" t="s">
        <v>333</v>
      </c>
    </row>
    <row r="49" spans="1:9" ht="115.2">
      <c r="A49" s="58" t="s">
        <v>334</v>
      </c>
      <c r="B49" s="59" t="s">
        <v>335</v>
      </c>
      <c r="C49" s="59" t="s">
        <v>336</v>
      </c>
      <c r="D49" s="59" t="s">
        <v>337</v>
      </c>
    </row>
    <row r="50" spans="1:9" ht="115.2">
      <c r="A50" s="58" t="s">
        <v>338</v>
      </c>
      <c r="B50" s="59" t="s">
        <v>339</v>
      </c>
      <c r="C50" s="59" t="s">
        <v>340</v>
      </c>
      <c r="D50" s="59" t="s">
        <v>341</v>
      </c>
    </row>
    <row r="54" spans="1:9" ht="14.4" customHeight="1">
      <c r="A54" s="60" t="s">
        <v>342</v>
      </c>
      <c r="B54" s="61"/>
      <c r="C54" s="61"/>
      <c r="D54" s="61"/>
      <c r="E54" s="61"/>
      <c r="F54" s="61"/>
      <c r="G54" s="61"/>
      <c r="H54" s="61"/>
      <c r="I54" s="61"/>
    </row>
    <row r="55" spans="1:9" ht="14.4" customHeight="1">
      <c r="A55" s="61"/>
      <c r="B55" s="61"/>
      <c r="C55" s="61"/>
      <c r="D55" s="61"/>
      <c r="E55" s="61"/>
      <c r="F55" s="61"/>
      <c r="G55" s="61"/>
      <c r="H55" s="61"/>
      <c r="I55" s="61"/>
    </row>
    <row r="56" spans="1:9" ht="14.4" customHeight="1">
      <c r="A56" s="61"/>
      <c r="B56" s="61"/>
      <c r="C56" s="61"/>
      <c r="D56" s="61"/>
      <c r="E56" s="61"/>
      <c r="F56" s="61"/>
      <c r="G56" s="61"/>
      <c r="H56" s="61"/>
      <c r="I56" s="61"/>
    </row>
    <row r="57" spans="1:9">
      <c r="A57" s="61"/>
      <c r="B57" s="61"/>
      <c r="C57" s="61"/>
      <c r="D57" s="61"/>
      <c r="E57" s="61"/>
      <c r="F57" s="61"/>
      <c r="G57" s="61"/>
      <c r="H57" s="61"/>
      <c r="I57" s="61"/>
    </row>
    <row r="58" spans="1:9">
      <c r="A58" s="65" t="s">
        <v>344</v>
      </c>
      <c r="B58" s="65"/>
      <c r="C58" s="65"/>
      <c r="D58" s="65"/>
      <c r="E58" s="65"/>
      <c r="F58" s="65"/>
      <c r="G58" s="65"/>
      <c r="H58" s="65"/>
      <c r="I58" s="65"/>
    </row>
    <row r="59" spans="1:9">
      <c r="A59" s="65"/>
      <c r="B59" s="65"/>
      <c r="C59" s="65"/>
      <c r="D59" s="65"/>
      <c r="E59" s="65"/>
      <c r="F59" s="65"/>
      <c r="G59" s="65"/>
      <c r="H59" s="65"/>
      <c r="I59" s="65"/>
    </row>
    <row r="60" spans="1:9">
      <c r="A60" s="66" t="s">
        <v>345</v>
      </c>
      <c r="B60" s="66"/>
      <c r="C60" s="66"/>
      <c r="D60" s="66"/>
      <c r="E60" s="66"/>
      <c r="F60" s="66"/>
      <c r="G60" s="66"/>
      <c r="H60" s="66"/>
      <c r="I60" s="66"/>
    </row>
    <row r="61" spans="1:9">
      <c r="A61" s="66"/>
      <c r="B61" s="66"/>
      <c r="C61" s="66"/>
      <c r="D61" s="66"/>
      <c r="E61" s="66"/>
      <c r="F61" s="66"/>
      <c r="G61" s="66"/>
      <c r="H61" s="66"/>
      <c r="I61" s="66"/>
    </row>
    <row r="62" spans="1:9">
      <c r="A62" s="66" t="s">
        <v>346</v>
      </c>
      <c r="B62" s="66"/>
      <c r="C62" s="66"/>
      <c r="D62" s="66"/>
      <c r="E62" s="66"/>
      <c r="F62" s="66"/>
      <c r="G62" s="66"/>
      <c r="H62" s="66"/>
      <c r="I62" s="66"/>
    </row>
    <row r="63" spans="1:9">
      <c r="A63" s="66"/>
      <c r="B63" s="66"/>
      <c r="C63" s="66"/>
      <c r="D63" s="66"/>
      <c r="E63" s="66"/>
      <c r="F63" s="66"/>
      <c r="G63" s="66"/>
      <c r="H63" s="66"/>
      <c r="I63" s="66"/>
    </row>
    <row r="64" spans="1:9">
      <c r="A64" s="66" t="s">
        <v>347</v>
      </c>
      <c r="B64" s="66"/>
      <c r="C64" s="66"/>
      <c r="D64" s="66"/>
      <c r="E64" s="66"/>
      <c r="F64" s="66"/>
      <c r="G64" s="66"/>
      <c r="H64" s="66"/>
      <c r="I64" s="66"/>
    </row>
    <row r="65" spans="1:9">
      <c r="A65" s="66"/>
      <c r="B65" s="66"/>
      <c r="C65" s="66"/>
      <c r="D65" s="66"/>
      <c r="E65" s="66"/>
      <c r="F65" s="66"/>
      <c r="G65" s="66"/>
      <c r="H65" s="66"/>
      <c r="I65" s="66"/>
    </row>
    <row r="66" spans="1:9">
      <c r="A66" s="65" t="s">
        <v>348</v>
      </c>
      <c r="B66" s="65"/>
      <c r="C66" s="65"/>
      <c r="D66" s="65"/>
      <c r="E66" s="65"/>
      <c r="F66" s="65"/>
      <c r="G66" s="65"/>
      <c r="H66" s="65"/>
      <c r="I66" s="65"/>
    </row>
    <row r="67" spans="1:9">
      <c r="A67" s="65"/>
      <c r="B67" s="65"/>
      <c r="C67" s="65"/>
      <c r="D67" s="65"/>
      <c r="E67" s="65"/>
      <c r="F67" s="65"/>
      <c r="G67" s="65"/>
      <c r="H67" s="65"/>
      <c r="I67" s="65"/>
    </row>
    <row r="68" spans="1:9">
      <c r="A68" s="65" t="s">
        <v>349</v>
      </c>
      <c r="B68" s="65"/>
      <c r="C68" s="65"/>
      <c r="D68" s="65"/>
      <c r="E68" s="65"/>
      <c r="F68" s="65"/>
      <c r="G68" s="65"/>
      <c r="H68" s="65"/>
      <c r="I68" s="65"/>
    </row>
    <row r="69" spans="1:9">
      <c r="A69" s="65"/>
      <c r="B69" s="65"/>
      <c r="C69" s="65"/>
      <c r="D69" s="65"/>
      <c r="E69" s="65"/>
      <c r="F69" s="65"/>
      <c r="G69" s="65"/>
      <c r="H69" s="65"/>
      <c r="I69" s="65"/>
    </row>
    <row r="70" spans="1:9">
      <c r="A70" s="65" t="s">
        <v>350</v>
      </c>
      <c r="B70" s="65"/>
      <c r="C70" s="65"/>
      <c r="D70" s="65"/>
      <c r="E70" s="65"/>
      <c r="F70" s="65"/>
      <c r="G70" s="65"/>
      <c r="H70" s="65"/>
      <c r="I70" s="65"/>
    </row>
    <row r="71" spans="1:9">
      <c r="A71" s="65"/>
      <c r="B71" s="65"/>
      <c r="C71" s="65"/>
      <c r="D71" s="65"/>
      <c r="E71" s="65"/>
      <c r="F71" s="65"/>
      <c r="G71" s="65"/>
      <c r="H71" s="65"/>
      <c r="I71" s="65"/>
    </row>
    <row r="72" spans="1:9">
      <c r="A72" s="65" t="s">
        <v>343</v>
      </c>
      <c r="B72" s="65"/>
      <c r="C72" s="65"/>
      <c r="D72" s="65"/>
      <c r="E72" s="65"/>
      <c r="F72" s="65"/>
      <c r="G72" s="65"/>
      <c r="H72" s="65"/>
      <c r="I72" s="65"/>
    </row>
    <row r="73" spans="1:9">
      <c r="A73" s="65"/>
      <c r="B73" s="65"/>
      <c r="C73" s="65"/>
      <c r="D73" s="65"/>
      <c r="E73" s="65"/>
      <c r="F73" s="65"/>
      <c r="G73" s="65"/>
      <c r="H73" s="65"/>
      <c r="I73" s="65"/>
    </row>
    <row r="74" spans="1:9">
      <c r="A74" s="65" t="s">
        <v>351</v>
      </c>
      <c r="B74" s="65"/>
      <c r="C74" s="65"/>
      <c r="D74" s="65"/>
      <c r="E74" s="65"/>
      <c r="F74" s="65"/>
      <c r="G74" s="65"/>
      <c r="H74" s="65"/>
      <c r="I74" s="65"/>
    </row>
    <row r="75" spans="1:9">
      <c r="A75" s="65"/>
      <c r="B75" s="65"/>
      <c r="C75" s="65"/>
      <c r="D75" s="65"/>
      <c r="E75" s="65"/>
      <c r="F75" s="65"/>
      <c r="G75" s="65"/>
      <c r="H75" s="65"/>
      <c r="I75" s="65"/>
    </row>
    <row r="76" spans="1:9">
      <c r="A76" s="66" t="s">
        <v>352</v>
      </c>
      <c r="B76" s="66"/>
      <c r="C76" s="66"/>
      <c r="D76" s="66"/>
      <c r="E76" s="66"/>
      <c r="F76" s="66"/>
      <c r="G76" s="66"/>
      <c r="H76" s="66"/>
      <c r="I76" s="66"/>
    </row>
    <row r="77" spans="1:9">
      <c r="A77" s="66"/>
      <c r="B77" s="66"/>
      <c r="C77" s="66"/>
      <c r="D77" s="66"/>
      <c r="E77" s="66"/>
      <c r="F77" s="66"/>
      <c r="G77" s="66"/>
      <c r="H77" s="66"/>
      <c r="I77" s="66"/>
    </row>
    <row r="78" spans="1:9">
      <c r="A78" s="39"/>
      <c r="B78" s="39"/>
      <c r="C78" s="39"/>
      <c r="D78" s="39"/>
      <c r="E78" s="39"/>
      <c r="F78" s="39"/>
      <c r="G78" s="39"/>
      <c r="H78" s="39"/>
      <c r="I78" s="39"/>
    </row>
    <row r="159" spans="1:2">
      <c r="A159" s="9" t="s">
        <v>303</v>
      </c>
      <c r="B159" s="46">
        <v>0.25</v>
      </c>
    </row>
    <row r="160" spans="1:2">
      <c r="B160" s="9"/>
    </row>
    <row r="161" spans="1:2">
      <c r="A161" s="9" t="s">
        <v>297</v>
      </c>
      <c r="B161" s="9">
        <f>5000</f>
        <v>5000</v>
      </c>
    </row>
  </sheetData>
  <mergeCells count="11">
    <mergeCell ref="A74:I75"/>
    <mergeCell ref="A76:I77"/>
    <mergeCell ref="A64:I65"/>
    <mergeCell ref="A66:I67"/>
    <mergeCell ref="A68:I69"/>
    <mergeCell ref="A70:I71"/>
    <mergeCell ref="A72:I73"/>
    <mergeCell ref="A54:I57"/>
    <mergeCell ref="A58:I59"/>
    <mergeCell ref="A60:I61"/>
    <mergeCell ref="A62:I63"/>
  </mergeCells>
  <pageMargins left="0.7" right="0.7" top="0.75" bottom="0.75" header="0.3" footer="0.3"/>
  <drawing r:id="rId1"/>
  <tableParts count="4">
    <tablePart r:id="rId2"/>
    <tablePart r:id="rId3"/>
    <tablePart r:id="rId4"/>
    <tablePart r:id="rId5"/>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C0839-AE39-49A8-90B3-3D78262A9AAC}">
  <sheetPr>
    <tabColor rgb="FF660033"/>
  </sheetPr>
  <dimension ref="A1:N20"/>
  <sheetViews>
    <sheetView workbookViewId="0">
      <selection activeCell="U6" sqref="U6"/>
    </sheetView>
  </sheetViews>
  <sheetFormatPr defaultRowHeight="14.4"/>
  <cols>
    <col min="1" max="1" width="30" bestFit="1" customWidth="1"/>
    <col min="2" max="2" width="21.5546875" bestFit="1" customWidth="1"/>
    <col min="11" max="11" width="30" bestFit="1" customWidth="1"/>
    <col min="12" max="12" width="25" customWidth="1"/>
    <col min="16" max="16" width="17.6640625" bestFit="1" customWidth="1"/>
    <col min="17" max="17" width="12.77734375" bestFit="1" customWidth="1"/>
    <col min="19" max="19" width="17.6640625" bestFit="1" customWidth="1"/>
  </cols>
  <sheetData>
    <row r="1" spans="1:14">
      <c r="A1" s="68" t="s">
        <v>353</v>
      </c>
      <c r="B1" s="68"/>
      <c r="C1" s="68"/>
      <c r="D1" s="68"/>
      <c r="E1" s="68"/>
      <c r="F1" s="68"/>
      <c r="G1" s="68"/>
      <c r="H1" s="68"/>
      <c r="I1" s="68"/>
      <c r="J1" s="68"/>
      <c r="K1" s="68"/>
      <c r="L1" s="68"/>
      <c r="M1" s="68"/>
      <c r="N1" s="68"/>
    </row>
    <row r="2" spans="1:14">
      <c r="A2" s="68"/>
      <c r="B2" s="68"/>
      <c r="C2" s="68"/>
      <c r="D2" s="68"/>
      <c r="E2" s="68"/>
      <c r="F2" s="68"/>
      <c r="G2" s="68"/>
      <c r="H2" s="68"/>
      <c r="I2" s="68"/>
      <c r="J2" s="68"/>
      <c r="K2" s="68"/>
      <c r="L2" s="68"/>
      <c r="M2" s="68"/>
      <c r="N2" s="68"/>
    </row>
    <row r="3" spans="1:14" ht="15.6">
      <c r="A3" s="69" t="s">
        <v>354</v>
      </c>
      <c r="B3" s="69"/>
      <c r="C3" s="69"/>
      <c r="D3" s="69"/>
      <c r="E3" s="69"/>
      <c r="F3" s="69"/>
      <c r="G3" s="69"/>
      <c r="H3" s="69"/>
      <c r="I3" s="69"/>
      <c r="J3" s="69"/>
      <c r="K3" s="69"/>
      <c r="L3" s="69"/>
      <c r="M3" s="69"/>
      <c r="N3" s="69"/>
    </row>
    <row r="4" spans="1:14">
      <c r="A4" s="14"/>
      <c r="B4" s="14"/>
      <c r="C4" s="14"/>
      <c r="D4" s="14"/>
      <c r="E4" s="14"/>
      <c r="F4" s="14"/>
      <c r="G4" s="14"/>
      <c r="H4" s="14"/>
      <c r="I4" s="14"/>
      <c r="J4" s="14"/>
      <c r="K4" s="14"/>
      <c r="L4" s="14"/>
      <c r="M4" s="14"/>
      <c r="N4" s="14"/>
    </row>
    <row r="5" spans="1:14">
      <c r="A5" s="70" t="s">
        <v>355</v>
      </c>
      <c r="B5" s="70"/>
      <c r="C5" s="70"/>
      <c r="D5" s="70" t="s">
        <v>356</v>
      </c>
      <c r="E5" s="70"/>
      <c r="F5" s="70"/>
      <c r="G5" s="70" t="s">
        <v>357</v>
      </c>
      <c r="H5" s="70"/>
      <c r="I5" s="70"/>
      <c r="J5" s="70" t="s">
        <v>358</v>
      </c>
      <c r="K5" s="70"/>
      <c r="L5" s="70"/>
      <c r="M5" s="70" t="s">
        <v>359</v>
      </c>
      <c r="N5" s="70"/>
    </row>
    <row r="6" spans="1:14">
      <c r="A6" s="71">
        <f>AVERAGE('07_DIGITAL_READINESS'!P2:P11)</f>
        <v>65.009999999999991</v>
      </c>
      <c r="B6" s="71"/>
      <c r="C6" s="71"/>
      <c r="D6" s="72">
        <f>SUM('08_ROI_ANALYSIS'!D2:D11)/SUM('08_ROI_ANALYSIS'!C2:C11)</f>
        <v>0.2</v>
      </c>
      <c r="E6" s="72"/>
      <c r="F6" s="72"/>
      <c r="G6" s="73">
        <f>SUM('08_ROI_ANALYSIS'!J2:J11)</f>
        <v>50000</v>
      </c>
      <c r="H6" s="73"/>
      <c r="I6" s="73"/>
      <c r="J6" s="73">
        <f>SUM('08_ROI_ANALYSIS'!K2:K11)</f>
        <v>365000</v>
      </c>
      <c r="K6" s="73"/>
      <c r="L6" s="73"/>
      <c r="M6" s="71">
        <f>COUNTIF('07_DIGITAL_READINESS'!R2:R11,"Management Priority")</f>
        <v>4</v>
      </c>
      <c r="N6" s="71"/>
    </row>
    <row r="10" spans="1:14" ht="15" thickBot="1">
      <c r="A10" s="74" t="s">
        <v>1</v>
      </c>
      <c r="B10" s="74" t="s">
        <v>286</v>
      </c>
      <c r="K10" s="55" t="s">
        <v>1</v>
      </c>
      <c r="L10" s="76" t="s">
        <v>301</v>
      </c>
    </row>
    <row r="11" spans="1:14">
      <c r="A11" s="75" t="s">
        <v>36</v>
      </c>
      <c r="B11" s="75">
        <v>83.7</v>
      </c>
      <c r="K11" s="4" t="s">
        <v>21</v>
      </c>
      <c r="L11" s="44">
        <v>15000</v>
      </c>
    </row>
    <row r="12" spans="1:14">
      <c r="A12" s="75" t="s">
        <v>21</v>
      </c>
      <c r="B12" s="75">
        <v>83.3</v>
      </c>
      <c r="K12" s="5" t="s">
        <v>23</v>
      </c>
      <c r="L12" s="44">
        <v>0</v>
      </c>
    </row>
    <row r="13" spans="1:14">
      <c r="A13" s="75" t="s">
        <v>23</v>
      </c>
      <c r="B13" s="75">
        <v>82.399999999999991</v>
      </c>
      <c r="K13" s="4" t="s">
        <v>24</v>
      </c>
      <c r="L13" s="44">
        <v>0</v>
      </c>
    </row>
    <row r="14" spans="1:14">
      <c r="A14" s="75" t="s">
        <v>26</v>
      </c>
      <c r="B14" s="75">
        <v>82.399999999999991</v>
      </c>
      <c r="K14" s="5" t="s">
        <v>25</v>
      </c>
      <c r="L14" s="44">
        <v>0</v>
      </c>
    </row>
    <row r="15" spans="1:14">
      <c r="A15" s="75" t="s">
        <v>25</v>
      </c>
      <c r="B15" s="75">
        <v>75.7</v>
      </c>
      <c r="K15" s="4" t="s">
        <v>26</v>
      </c>
      <c r="L15" s="44">
        <v>15000</v>
      </c>
    </row>
    <row r="16" spans="1:14">
      <c r="A16" s="75" t="s">
        <v>38</v>
      </c>
      <c r="B16" s="75">
        <v>74.600000000000009</v>
      </c>
      <c r="K16" s="5" t="s">
        <v>36</v>
      </c>
      <c r="L16" s="44">
        <v>0</v>
      </c>
    </row>
    <row r="17" spans="1:12">
      <c r="A17" s="75" t="s">
        <v>24</v>
      </c>
      <c r="B17" s="75">
        <v>56.5</v>
      </c>
      <c r="K17" s="4" t="s">
        <v>37</v>
      </c>
      <c r="L17" s="44">
        <v>15000</v>
      </c>
    </row>
    <row r="18" spans="1:12">
      <c r="A18" s="75" t="s">
        <v>37</v>
      </c>
      <c r="B18" s="75">
        <v>44.7</v>
      </c>
      <c r="K18" s="5" t="s">
        <v>38</v>
      </c>
      <c r="L18" s="44">
        <v>0</v>
      </c>
    </row>
    <row r="19" spans="1:12">
      <c r="A19" s="75" t="s">
        <v>39</v>
      </c>
      <c r="B19" s="75">
        <v>42.9</v>
      </c>
      <c r="K19" s="4" t="s">
        <v>39</v>
      </c>
      <c r="L19" s="44">
        <v>5000</v>
      </c>
    </row>
    <row r="20" spans="1:12">
      <c r="A20" s="75" t="s">
        <v>40</v>
      </c>
      <c r="B20" s="75">
        <v>23.9</v>
      </c>
      <c r="K20" s="5" t="s">
        <v>40</v>
      </c>
      <c r="L20" s="44">
        <v>0</v>
      </c>
    </row>
  </sheetData>
  <mergeCells count="12">
    <mergeCell ref="J5:L5"/>
    <mergeCell ref="J6:L6"/>
    <mergeCell ref="M5:N5"/>
    <mergeCell ref="M6:N6"/>
    <mergeCell ref="A1:N2"/>
    <mergeCell ref="A3:N3"/>
    <mergeCell ref="A5:C5"/>
    <mergeCell ref="A6:C6"/>
    <mergeCell ref="D5:F5"/>
    <mergeCell ref="D6:F6"/>
    <mergeCell ref="G6:I6"/>
    <mergeCell ref="G5:I5"/>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3</vt:i4>
      </vt:variant>
    </vt:vector>
  </HeadingPairs>
  <TitlesOfParts>
    <vt:vector size="21" baseType="lpstr">
      <vt:lpstr>01_Hospitals</vt:lpstr>
      <vt:lpstr>02_ENCOUNTERS</vt:lpstr>
      <vt:lpstr>02_ENCOUNTERS_RAW</vt:lpstr>
      <vt:lpstr>03_ENCOUNTERS_CLEAN</vt:lpstr>
      <vt:lpstr>05_ANALYSIS</vt:lpstr>
      <vt:lpstr>04_DATA_QUALITY_LOG</vt:lpstr>
      <vt:lpstr>06_PIVOTS</vt:lpstr>
      <vt:lpstr>07-PIVOTS</vt:lpstr>
      <vt:lpstr>08-PIVOTS</vt:lpstr>
      <vt:lpstr>09-PIVOTS</vt:lpstr>
      <vt:lpstr>10-PIVOTS</vt:lpstr>
      <vt:lpstr>11-PIVOTS</vt:lpstr>
      <vt:lpstr>12-PIVOTS</vt:lpstr>
      <vt:lpstr>13-PIVOTS</vt:lpstr>
      <vt:lpstr>14-PIVOTS</vt:lpstr>
      <vt:lpstr>07_DIGITAL_READINESS</vt:lpstr>
      <vt:lpstr>08_ROI_ANALYSIS</vt:lpstr>
      <vt:lpstr>09_CEO_DASHBOARD</vt:lpstr>
      <vt:lpstr>'02_ENCOUNTERS_RAW'!tblHospitals</vt:lpstr>
      <vt:lpstr>'03_ENCOUNTERS_CLEAN'!tblHospitals</vt:lpstr>
      <vt:lpstr>tblHospitals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Abubaker Garve</dc:creator>
  <cp:lastModifiedBy>Abubaker Garve</cp:lastModifiedBy>
  <dcterms:created xsi:type="dcterms:W3CDTF">2026-09-30T10:54:52Z</dcterms:created>
  <dcterms:modified xsi:type="dcterms:W3CDTF">2026-10-07T11:16:29Z</dcterms:modified>
</cp:coreProperties>
</file>